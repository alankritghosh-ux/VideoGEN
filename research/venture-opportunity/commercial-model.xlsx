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Unit economics" sheetId="3" state="visible" r:id="rId5"/>
    <sheet name="Path to first revenue" sheetId="4" state="visible" r:id="rId6"/>
    <sheet name="Scenarios" sheetId="5" state="visible" r:id="rId7"/>
    <sheet name="Sensitivity" sheetId="6" state="visible" r:id="rId8"/>
    <sheet name="Operational constraint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<sst xmlns="http://schemas.openxmlformats.org/spreadsheetml/2006/main" count="1370" uniqueCount="733">
  <si>
    <t xml:space="preserve">Commercial model: venture-diligence finalists F2 / F1 / F3</t>
  </si>
  <si>
    <t xml:space="preserve">Purpose</t>
  </si>
  <si>
    <t xml:space="preserve">Editable commercial model for the three finalists of the venture-opportunity search (post-red-team order: F2 &gt; F1 &gt; F3). It turns the research notes' pricing anchors, segment counts and cost drivers into unit economics, 10/100/1,000-customer scenarios, a 12-month path to first revenue for the lead finalist (F2), one-way and two-way sensitivities, and an operational-constraints check. Nothing in this workbook is a measured price: every price point is a Hypothesis inspired by a cited anchor and must be validated in customer interviews (experiments F2-A / F2-B / F1-A in decision_brief.md section 7).</t>
  </si>
  <si>
    <t xml:space="preserve">Finalists</t>
  </si>
  <si>
    <t xml:space="preserve">F2 = C&amp;I open-access settlement / bill-audit + procurement engine for 1–20 MW industrial consumers in Karnataka, Tamil Nadu and Maharashtra (lead; success fee on recovered overcharges, then SaaS per site per year).</t>
  </si>
  <si>
    <t xml:space="preserve">F1 = ISTS connectivity / GNA intelligence for RE and BESS developers (per-developer subscription plus per-application reports). Gated by CTUIL data-reuse permission.</t>
  </si>
  <si>
    <t xml:space="preserve">F3 = FDRE / BESS dispatch, availability-compliance and IEX bid optimisation for Tier-2 storage awardees (₹ per MW per month, optional revenue share on merchant uplift). 2027+ watch item.</t>
  </si>
  <si>
    <t xml:space="preserve">How to use</t>
  </si>
  <si>
    <t xml:space="preserve">1. Go to the Assumptions sheet. Cell C3 is the scenario selector: 1 = Conservative, 2 = Base, 3 = Upside. It drives the 'Active' column (F) on Assumptions, the 'Active' column on Unit economics, the Path to first revenue sheet and the Operational constraints sheet via INDEX.</t>
  </si>
  <si>
    <t xml:space="preserve">2. Scenarios and Sensitivity do not depend on the selector: Scenarios shows all three scenarios side by side at 10 / 100 / 1,000 customers; Sensitivity is always computed on the Base column (D) of Assumptions.</t>
  </si>
  <si>
    <t xml:space="preserve">3. Edit only blue cells. Every number in a blue cell is an input; every black cell is a formula; green cells are links to another sheet. Yellow-filled cells are the key levers and the unknowns that must be validated (CTUIL permission, IEX licence fee, recoverable % of bill).</t>
  </si>
  <si>
    <t xml:space="preserve">4. Currency is INR throughout. The USD/INR rate (Assumptions C4) converts the USD-denominated compute and API costs; it is the only USD input.</t>
  </si>
  <si>
    <t xml:space="preserve">5. Each assumption row carries an evidence class and a source reference (S-number) that resolves on the Sources sheet to the URL and the research note it came from.</t>
  </si>
  <si>
    <t xml:space="preserve">Colour convention</t>
  </si>
  <si>
    <t xml:space="preserve">Blue text = hard-coded input or scenario lever.   Black text = formula.   Green text = link to another sheet.   Yellow fill = key assumption / must-validate placeholder.   Grey fill = section header.</t>
  </si>
  <si>
    <t xml:space="preserve">Evidence classes (column G on Assumptions, column D on Sources)</t>
  </si>
  <si>
    <t xml:space="preserve">Verified = read directly from a primary document, regulator / exchange page or statutory filing (VF in the notes).   Corroborated = two independent secondary sources or a primary quoted verbatim (IC).   Estimate = vendor blog, association claim or arithmetic on verified inputs (EST).   Hypothesis = no price or count found; a value proposed for testing, with the anchor that inspired it (HYP).   Unknown = searched and not found; placeholder only (UNK).</t>
  </si>
  <si>
    <t xml:space="preserve">Conventions and limitations</t>
  </si>
  <si>
    <t xml:space="preserve">Steady-state ARPA excludes one-time audit fees (F2) which are shown separately. Payback is on steady-state gross margin; a second payback line nets the one-time fee. LTV is undiscounted gross margin over 1/churn years plus one-time fees. Opex includes a 'replacement acquisition' line (customers × churn × cost to acquire) so the 10/100/1,000 grids are steady-state P&amp;Ls, not launch-year P&amp;Ls. Founder time is costed at the stipend on Path to first revenue and at the blended labour rate for delivery hours elsewhere. Taxes, GST and working-capital financing are excluded; DSO is reported as receivables days only.</t>
  </si>
  <si>
    <t xml:space="preserve">Formulas were recalculated with LibreOffice before delivery (see commercial-model-summary.md for the recalc result). No Excel Data Tables, dynamic arrays or XLOOKUP are used so the file evaluates identically in Excel, LibreOffice and Google Sheets.</t>
  </si>
  <si>
    <t xml:space="preserve">Evidence base: research_notes/Venture scale opportunity search/ (decision_brief.md, opportunities_beyond_thesis.md, energy_software_india_forecasting.md, red_team_counterevidence.md, f1_customers_and_buying.md, solar_forecasting_feasibility.md, f2_f3_commercial_facts.md). No new web research was done for this workbook.</t>
  </si>
  <si>
    <t xml:space="preserve">Assumptions (edit blue cells only; column F = active scenario)</t>
  </si>
  <si>
    <t xml:space="preserve">Scenario selector (1 = Conservative, 2 = Base, 3 = Upside)</t>
  </si>
  <si>
    <t xml:space="preserve">USD / INR exchange rate (converts USD compute and API costs)</t>
  </si>
  <si>
    <t xml:space="preserve">Estimate</t>
  </si>
  <si>
    <t xml:space="preserve">S37</t>
  </si>
  <si>
    <t xml:space="preserve">Implied by JMK's listing of its OA report at INR 2 lakh + 18% GST ≈ USD 2,700 (₹2.36 lakh / 2,700 ≈ 87). Override with the live rate.</t>
  </si>
  <si>
    <t xml:space="preserve">Parameter</t>
  </si>
  <si>
    <t xml:space="preserve">Unit</t>
  </si>
  <si>
    <t xml:space="preserve">Conservative</t>
  </si>
  <si>
    <t xml:space="preserve">Base</t>
  </si>
  <si>
    <t xml:space="preserve">Upside</t>
  </si>
  <si>
    <t xml:space="preserve">Active</t>
  </si>
  <si>
    <t xml:space="preserve">Evidence class</t>
  </si>
  <si>
    <t xml:space="preserve">Source</t>
  </si>
  <si>
    <t xml:space="preserve">Must validate?</t>
  </si>
  <si>
    <t xml:space="preserve">Note / anchor</t>
  </si>
  <si>
    <t xml:space="preserve">Global cost drivers (shared by all finalists)</t>
  </si>
  <si>
    <t xml:space="preserve">Productive hours per FTE per month</t>
  </si>
  <si>
    <t xml:space="preserve">hours</t>
  </si>
  <si>
    <t xml:space="preserve">S38</t>
  </si>
  <si>
    <t xml:space="preserve">no</t>
  </si>
  <si>
    <t xml:space="preserve">Standard planning figure; used to convert support / onboarding hours into FTEs.</t>
  </si>
  <si>
    <t xml:space="preserve">Blended labour rate for onboarding and support (analyst)</t>
  </si>
  <si>
    <t xml:space="preserve">₹ / hour</t>
  </si>
  <si>
    <t xml:space="preserve">Hypothesis</t>
  </si>
  <si>
    <t xml:space="preserve">YES</t>
  </si>
  <si>
    <t xml:space="preserve">≈ ₹55–80k per month analyst salary ÷ 160 h. No salary data in the notes; user input.</t>
  </si>
  <si>
    <t xml:space="preserve">Engineer, fully loaded</t>
  </si>
  <si>
    <t xml:space="preserve">₹ / month</t>
  </si>
  <si>
    <t xml:space="preserve">Bengaluru mid-level engineer; no salary data in the notes; user input.</t>
  </si>
  <si>
    <t xml:space="preserve">G&amp;A fixed (accounting, legal, tools, insurance)</t>
  </si>
  <si>
    <t xml:space="preserve">₹ / year</t>
  </si>
  <si>
    <t xml:space="preserve">Solo-founder company overhead; user input.</t>
  </si>
  <si>
    <t xml:space="preserve">Fixed compute + object storage (bare VM, no paid APIs)</t>
  </si>
  <si>
    <t xml:space="preserve">US$ / month</t>
  </si>
  <si>
    <t xml:space="preserve">S32</t>
  </si>
  <si>
    <t xml:space="preserve">solar_forecasting_feasibility.md section F: ≈ $15–40/month without paid APIs (2–4 vCPU VM + object storage).</t>
  </si>
  <si>
    <t xml:space="preserve">Open-Meteo Professional subscription (only where flagged)</t>
  </si>
  <si>
    <t xml:space="preserve">Verified</t>
  </si>
  <si>
    <t xml:space="preserve">S33</t>
  </si>
  <si>
    <t xml:space="preserve">Open-Meteo Professional $99/month (5M calls, historical / ensemble / satellite radiation). Needed only for F3's forecasting component.</t>
  </si>
  <si>
    <t xml:space="preserve">F2 — C&amp;I open-access settlement &amp; procurement engine (lead finalist)</t>
  </si>
  <si>
    <t xml:space="preserve">Reachable initial segment: OA / group-captive consumer organisations, 1–20 MW, Karnataka + TN + Maharashtra</t>
  </si>
  <si>
    <t xml:space="preserve">organisations</t>
  </si>
  <si>
    <t xml:space="preserve">S6</t>
  </si>
  <si>
    <t xml:space="preserve">Karnataka: ≈922 distinct consumer organisations parsed from SLDC approved-consumer lists (count verified, de-duplication estimated; GESCOM/HESCOM lists missing). TN: '1,500+ MSME textile mills' on OA/group-captive (association claim, mostly &lt;1 MW). Maharashtra: no public count. Range = Karnataka only → three states.</t>
  </si>
  <si>
    <t xml:space="preserve">OA energy drawn per site</t>
  </si>
  <si>
    <t xml:space="preserve">MU / year</t>
  </si>
  <si>
    <t xml:space="preserve">S8</t>
  </si>
  <si>
    <t xml:space="preserve">E.g. 5 MW contracted × 8,760 h × ~45% utilisation ≈ 20 MU. Cross-check: BESCOM-area OA drawal ≈ 6,230 MU/yr implied by the ₹1,028 Cr ÷ ₹1.65/kWh petition arithmetic.</t>
  </si>
  <si>
    <t xml:space="preserve">OA landed cost (energy + wheeling + CSS + surcharges + banking)</t>
  </si>
  <si>
    <t xml:space="preserve">₹ / kWh</t>
  </si>
  <si>
    <t xml:space="preserve">S11</t>
  </si>
  <si>
    <t xml:space="preserve">Hero Future Energies worked example: landed ₹4.78/unit vs DISCOM ₹7.32 (Manesar). Karnataka additional surcharge alone swung ₹0.82 → ₹0.40/kWh in FY26–27.</t>
  </si>
  <si>
    <t xml:space="preserve">Annual OA-related bill per site (formula)</t>
  </si>
  <si>
    <t xml:space="preserve">₹ / site / year</t>
  </si>
  <si>
    <t xml:space="preserve">Formula: MU × 1,000,000 × ₹/kWh.</t>
  </si>
  <si>
    <t xml:space="preserve">Recoverable overcharge / avoidable loss as % of annual OA bill</t>
  </si>
  <si>
    <t xml:space="preserve">% of bill</t>
  </si>
  <si>
    <t xml:space="preserve">S13</t>
  </si>
  <si>
    <t xml:space="preserve">Experiment F2-A pass threshold: median ≥1.5% and ≥₹5 lakh/yr for 3 of 5 sites; fail &lt;0.5%. Precedents: MERC-ordered wheeling refunds; ₹0.10/kWh error on 6,230 MU = ₹62 Cr/yr BESCOM-wide (arithmetic). MUST be measured on real bills.</t>
  </si>
  <si>
    <t xml:space="preserve">Success fee on verified recoveries</t>
  </si>
  <si>
    <t xml:space="preserve">% of recovered</t>
  </si>
  <si>
    <t xml:space="preserve">S3</t>
  </si>
  <si>
    <t xml:space="preserve">Audit-firm contingency structure (20–25%) and Zenatix's '% of energy bill' precedent (8–12% of bill). Not a quoted Indian OA fee: none published.</t>
  </si>
  <si>
    <t xml:space="preserve">Months of historical bills audited in the first engagement</t>
  </si>
  <si>
    <t xml:space="preserve">months</t>
  </si>
  <si>
    <t xml:space="preserve">Experiment F2-A uses 12 months; refund windows after APTEL/MERC rulings can reach back 24 months.</t>
  </si>
  <si>
    <t xml:space="preserve">Recurring recoveries after the first audit (share of first-year recoverable)</t>
  </si>
  <si>
    <t xml:space="preserve">% of year-1</t>
  </si>
  <si>
    <t xml:space="preserve">S10</t>
  </si>
  <si>
    <t xml:space="preserve">Charges are re-set every tariff order and banking regimes are re-litigated (TN banking rate changed 4×), so some errors recur. Conservative assumes none.</t>
  </si>
  <si>
    <t xml:space="preserve">SaaS subscription for monthly settlement + procurement optimisation</t>
  </si>
  <si>
    <t xml:space="preserve">Anchors: JMK OA report ₹2 lakh/yr (what buyers pay for OA data); mid-size factory energy audit ₹1.5–4 lakh; large plant ₹3–8 lakh. No OA-advisory fee is published by any Indian consultant.</t>
  </si>
  <si>
    <t xml:space="preserve">Billed sites per customer organisation</t>
  </si>
  <si>
    <t xml:space="preserve">sites</t>
  </si>
  <si>
    <t xml:space="preserve">SLDC lists show multi-installation consumers (Shahi Exports ≥6 HT installations; Wipro, Infosys, RMZ, Manyata multiple RR numbers); most organisations have one.</t>
  </si>
  <si>
    <t xml:space="preserve">Win rate: qualified prospect → paying customer</t>
  </si>
  <si>
    <t xml:space="preserve">%</t>
  </si>
  <si>
    <t xml:space="preserve">Experiment F2-B pass = ≥3 of 10 interviewees accept a success-fee audit (30% pilot acceptance); paid conversion assumed lower. Incumbents (TPTCL, CES, OAE, BridgeIT) bundle settlement free, which caps the win rate.</t>
  </si>
  <si>
    <t xml:space="preserve">Sales cycle (first contact → signed)</t>
  </si>
  <si>
    <t xml:space="preserve">S14</t>
  </si>
  <si>
    <t xml:space="preserve">Plant-head / CFO decision on a success-fee audit; no cycle data in the notes.</t>
  </si>
  <si>
    <t xml:space="preserve">Annual logo churn</t>
  </si>
  <si>
    <t xml:space="preserve">% / year</t>
  </si>
  <si>
    <t xml:space="preserve">Risk: developers / traders bundle settlement free; buyers may revert to the generator. No retention data exists.</t>
  </si>
  <si>
    <t xml:space="preserve">Onboarding hours per customer (collect 12–24 months of bills + SLDC / banking statements, identify regime)</t>
  </si>
  <si>
    <t xml:space="preserve">Two coexisting Karnataka banking regimes (legacy annual 2% in-kind vs 2025 monthly 8%) mean 'which regime applies' is manual work per generator pairing.</t>
  </si>
  <si>
    <t xml:space="preserve">Support + monthly statement handling per customer</t>
  </si>
  <si>
    <t xml:space="preserve">hours / month</t>
  </si>
  <si>
    <t xml:space="preserve">Monthly DISCOM bill + generator invoice + SLDC energy-accounting + banking statements per site; manual collection until DISCOM / SLDC exports are automated.</t>
  </si>
  <si>
    <t xml:space="preserve">Fixed data cost: JMK 'Open Access C&amp;I RE Market' report subscription (incl. 18% GST)</t>
  </si>
  <si>
    <t xml:space="preserve">S2</t>
  </si>
  <si>
    <t xml:space="preserve">₹2 lakh + GST, quarterly updates. Tariff orders / regulations are free public PDFs.</t>
  </si>
  <si>
    <t xml:space="preserve">Data cost per customer (bills and SLDC statements are customer-supplied)</t>
  </si>
  <si>
    <t xml:space="preserve">No third-party data purchase per customer; no redistribution risk (customer-owned data).</t>
  </si>
  <si>
    <t xml:space="preserve">Compute / storage per customer</t>
  </si>
  <si>
    <t xml:space="preserve">Bill PDFs + 15-minute load profiles per site are kilobytes to megabytes; marginal cost is small.</t>
  </si>
  <si>
    <t xml:space="preserve">Needs Open-Meteo subscription? (1 = yes, 0 = no)</t>
  </si>
  <si>
    <t xml:space="preserve">flag</t>
  </si>
  <si>
    <t xml:space="preserve">F2 uses no weather data.</t>
  </si>
  <si>
    <t xml:space="preserve">Engineers (excluding founder) at 10 customers</t>
  </si>
  <si>
    <t xml:space="preserve">FTE</t>
  </si>
  <si>
    <t xml:space="preserve">Founder-built rule library for one state.</t>
  </si>
  <si>
    <t xml:space="preserve">Engineers at 100 customers</t>
  </si>
  <si>
    <t xml:space="preserve">Multi-state rule libraries, statement ingestion automation.</t>
  </si>
  <si>
    <t xml:space="preserve">Engineers at 1,000 customers</t>
  </si>
  <si>
    <t xml:space="preserve">Six+ state rule libraries, DISCOM portal integrations, audit trail / sign-off tooling.</t>
  </si>
  <si>
    <t xml:space="preserve">Outbound hours per qualified prospect (discovery, bill sample, proposal)</t>
  </si>
  <si>
    <t xml:space="preserve">Karnataka prospect list is free (SLDC consumer lists with RR numbers), so hours are the main cost.</t>
  </si>
  <si>
    <t xml:space="preserve">Travel per prospect (Bengaluru / Karnataka industrial belts)</t>
  </si>
  <si>
    <t xml:space="preserve">₹ / prospect</t>
  </si>
  <si>
    <t xml:space="preserve">Local travel to Peenya, Bommasandra, Bidadi, Malur; occasional Ballari / Hubballi trips.</t>
  </si>
  <si>
    <t xml:space="preserve">Conferences, association events (KASSIA, FKCCI energy committee, Peenya Industries Assn.)</t>
  </si>
  <si>
    <t xml:space="preserve">Membership + event fees; user input.</t>
  </si>
  <si>
    <t xml:space="preserve">Planned new customers per year (allocates event spend into CAC)</t>
  </si>
  <si>
    <t xml:space="preserve">customers / year</t>
  </si>
  <si>
    <t xml:space="preserve">Planning assumption only; used to spread fixed event spend per won customer.</t>
  </si>
  <si>
    <t xml:space="preserve">Payment terms / DSO</t>
  </si>
  <si>
    <t xml:space="preserve">days</t>
  </si>
  <si>
    <t xml:space="preserve">Industrial buyers; no payment-terms data in the notes.</t>
  </si>
  <si>
    <t xml:space="preserve">Months from audit finding to cash recovery (DISCOM credit or commission order)</t>
  </si>
  <si>
    <t xml:space="preserve">Over-billing is corrected by commission orders (APTEL 366/2017, MERC 2025 refund orders): slow. Success-fee cash lags the finding.</t>
  </si>
  <si>
    <t xml:space="preserve">F1 — ISTS connectivity / GNA intelligence for RE &amp; BESS developers</t>
  </si>
  <si>
    <t xml:space="preserve">Reachable initial segment: RE / BESS developers, lenders and advisors with live ISTS applications</t>
  </si>
  <si>
    <t xml:space="preserve">S16</t>
  </si>
  <si>
    <t xml:space="preserve">≈70 LoA-holding developers on CTUIL's 11/SM/2026 stranded list (verified count); 'a few hundred developers' nationally (brief); ≥25 named organisations with documented exposure.</t>
  </si>
  <si>
    <t xml:space="preserve">Subscription per developer</t>
  </si>
  <si>
    <t xml:space="preserve">₹ / developer / year</t>
  </si>
  <si>
    <t xml:space="preserve">S15</t>
  </si>
  <si>
    <t xml:space="preserve">H7 proposed ₹3–10 lakh/yr per developer seat, modelled on US interconnection-intelligence vendors; no Indian fee evidence. Sits below board-approval thresholds (inference).</t>
  </si>
  <si>
    <t xml:space="preserve">Paid per-application / per-substation reports per customer per year</t>
  </si>
  <si>
    <t xml:space="preserve">reports</t>
  </si>
  <si>
    <t xml:space="preserve">H7: ₹50k–2 lakh per report. Episodic need (60-day election windows, reallocation notices).</t>
  </si>
  <si>
    <t xml:space="preserve">Price per report</t>
  </si>
  <si>
    <t xml:space="preserve">₹ / report</t>
  </si>
  <si>
    <t xml:space="preserve">Anchors: RERC consultancy estimate ₹10 lakh for a regulation-drafting assignment; law-firm CERC petition ₹10–50 lakh (unsourced estimate).</t>
  </si>
  <si>
    <t xml:space="preserve">S18</t>
  </si>
  <si>
    <t xml:space="preserve">Tier-2 developers file their own CERC comments (in-house regulatory capacity); no software line item exists today.</t>
  </si>
  <si>
    <t xml:space="preserve">Sales cycle</t>
  </si>
  <si>
    <t xml:space="preserve">BD / regulatory head discretionary budget (inference).</t>
  </si>
  <si>
    <t xml:space="preserve">S21</t>
  </si>
  <si>
    <t xml:space="preserve">Episodic need; CTUIL already publishes a filterable 636-row effective-connectivity table, so retention depends on the prediction / alert layer.</t>
  </si>
  <si>
    <t xml:space="preserve">Onboarding hours per customer (map portfolio of applications, alert rules)</t>
  </si>
  <si>
    <t xml:space="preserve">Public data; customer supplies application IDs only.</t>
  </si>
  <si>
    <t xml:space="preserve">Support + alert curation per customer</t>
  </si>
  <si>
    <t xml:space="preserve">Interpretation of CERC orders / CTUIL notices for the customer's substations.</t>
  </si>
  <si>
    <t xml:space="preserve">CTUIL written permission to reuse published data commercially (1 = obtained, 0 = refused / not yet)</t>
  </si>
  <si>
    <t xml:space="preserve">Unknown</t>
  </si>
  <si>
    <t xml:space="preserve">S20</t>
  </si>
  <si>
    <t xml:space="preserve">CTUIL copyright policy: contents 'may not be reproduced partially or fully, without due permission'; margin PDFs stamped RESTRICTED. Conservative = refused → revenue not bankable (F1-A0 gate).</t>
  </si>
  <si>
    <t xml:space="preserve">CTUIL data licence / MoU fee (placeholder; no fee schedule exists)</t>
  </si>
  <si>
    <t xml:space="preserve">Placeholder only. Trade publishers re-publish CTUIL lists without visible licences (practice suggests tolerance, policy suggests risk).</t>
  </si>
  <si>
    <t xml:space="preserve">Data cost per customer</t>
  </si>
  <si>
    <t xml:space="preserve">All inputs are public CTUIL / CERC / RLDC PDFs and HTML tables.</t>
  </si>
  <si>
    <t xml:space="preserve">Shared parsed database; per-customer cost is alerting only.</t>
  </si>
  <si>
    <t xml:space="preserve">No weather data needed (optional satellite stage-verification excluded).</t>
  </si>
  <si>
    <t xml:space="preserve">Founder-built parser + model (Experiment F1-A ≤7 days).</t>
  </si>
  <si>
    <t xml:space="preserve">PDF format changes, state (STU) connectivity extension.</t>
  </si>
  <si>
    <t xml:space="preserve">Exceeds the buyer universe; shown for completeness.</t>
  </si>
  <si>
    <t xml:space="preserve">Outbound hours per qualified prospect</t>
  </si>
  <si>
    <t xml:space="preserve">Prospect list is public (CTUIL stranded list, award news); BD heads are in Delhi NCR / Gurugram / Mumbai.</t>
  </si>
  <si>
    <t xml:space="preserve">Travel per prospect (flights Bengaluru → NCR / Mumbai / Hyderabad)</t>
  </si>
  <si>
    <t xml:space="preserve">Most Tier-2 developers are HQ'd in Gurugram / Delhi NCR / Mumbai; a Bengaluru cluster exists (Pace Digitek, Ayana).</t>
  </si>
  <si>
    <t xml:space="preserve">Conferences / industry events (national RE events)</t>
  </si>
  <si>
    <t xml:space="preserve">User input.</t>
  </si>
  <si>
    <t xml:space="preserve">Planning assumption only.</t>
  </si>
  <si>
    <t xml:space="preserve">Large developers; corporate procurement; no data in the notes.</t>
  </si>
  <si>
    <t xml:space="preserve">F3 — FDRE / BESS dispatch, availability-compliance &amp; bid optimisation</t>
  </si>
  <si>
    <t xml:space="preserve">Reachable initial segment: Tier-2 BESS / FDRE awardees without trading desks</t>
  </si>
  <si>
    <t xml:space="preserve">S28</t>
  </si>
  <si>
    <t xml:space="preserve">≈19 named Tier-2 awardees from 2025–26 state auctions (KPTCL, TGGENCO, NVVN-Kerala, TNGECL, MSEDCL, GUVNL-IX, SJVN) plus FDRE winners; contracted pipeline ≈3.9 GW / 8.6 GWh with 2027–28 SCODs.</t>
  </si>
  <si>
    <t xml:space="preserve">Compliance / dispatch fee</t>
  </si>
  <si>
    <t xml:space="preserve">₹ / MW / month</t>
  </si>
  <si>
    <t xml:space="preserve">S23</t>
  </si>
  <si>
    <t xml:space="preserve">H2 proposed ₹2,000–5,000/MW/month ≈ 1–2.5% of a ₹2.2 lakh/MW/month capacity charge. Comparable: QCA forecasting fees imply only ₹4k–33k/MW/yr (₹330–2,750/MW/month) — a ceiling risk.</t>
  </si>
  <si>
    <t xml:space="preserve">MW under management per customer</t>
  </si>
  <si>
    <t xml:space="preserve">MW</t>
  </si>
  <si>
    <t xml:space="preserve">Awards range 50 MW (Sarala, Bondada) to ~1,000 MW (Oriana); Pace Digitek 375 MW; GK Energy 150 MW.</t>
  </si>
  <si>
    <t xml:space="preserve">Share of customer MW with merchant / co-optimisation headroom</t>
  </si>
  <si>
    <t xml:space="preserve">% of MW</t>
  </si>
  <si>
    <t xml:space="preserve">S29</t>
  </si>
  <si>
    <t xml:space="preserve">State DISCOM capacity contracts give no merchant rights; SECI tenders had a 40% developer tranche; FDRE allows ≤5% market sourcing. Merchant fleet (~80% of operational GWh) is Adani / ACME (in-house).</t>
  </si>
  <si>
    <t xml:space="preserve">Merchant revenue per MW (2-hour system; Ember ₹2.4 million / MWh / yr × 2)</t>
  </si>
  <si>
    <t xml:space="preserve">₹ / MW / year</t>
  </si>
  <si>
    <t xml:space="preserve">Corroborated</t>
  </si>
  <si>
    <t xml:space="preserve">S26</t>
  </si>
  <si>
    <t xml:space="preserve">Ember 2025: merchant BESS revenue ≈ INR 2.4 million/MWh/yr; DAM-only. IEX FY26 average arbitrage spread ₹4.81/kWh.</t>
  </si>
  <si>
    <t xml:space="preserve">Optimiser uplift over naive dispatch</t>
  </si>
  <si>
    <t xml:space="preserve">% of merchant revenue</t>
  </si>
  <si>
    <t xml:space="preserve">No Indian optimiser track record; GB optimisers claim up to 2× vs peers (vendor claim). Must be backtested on IEX 15-minute prices.</t>
  </si>
  <si>
    <t xml:space="preserve">Vendor share of uplift</t>
  </si>
  <si>
    <t xml:space="preserve">% of uplift</t>
  </si>
  <si>
    <t xml:space="preserve">GB floor-plus-share structures exist (Gresham House / Statkraft, Danske) but no optimiser publishes its share %.</t>
  </si>
  <si>
    <t xml:space="preserve">S40</t>
  </si>
  <si>
    <t xml:space="preserve">Hook: MSEDCL BESPA requires 'indigenous EMS software', 95% availability, 85% RTE. Risk: OEM EMS bundles (Envision at Juniper; Fluence–ReNew JV).</t>
  </si>
  <si>
    <t xml:space="preserve">Assets reach COD 2027–28; procurement tied to commissioning.</t>
  </si>
  <si>
    <t xml:space="preserve">S39</t>
  </si>
  <si>
    <t xml:space="preserve">OEM EMS bundling and in-house desks are the churn paths.</t>
  </si>
  <si>
    <t xml:space="preserve">Onboarding hours per customer (EMS / SCADA telemetry integration, contract encoding)</t>
  </si>
  <si>
    <t xml:space="preserve">Per-site integration with OEM EMS; BESPA clause encoding (cycles, RTE, availability tests).</t>
  </si>
  <si>
    <t xml:space="preserve">Support / dispatch desk per customer</t>
  </si>
  <si>
    <t xml:space="preserve">Daily dispatch plans, monthly availability certificates; could require 24×7 cover at scale.</t>
  </si>
  <si>
    <t xml:space="preserve">IEX market-data licence for commercial redistribution (UNKNOWN; placeholder)</t>
  </si>
  <si>
    <t xml:space="preserve">S25</t>
  </si>
  <si>
    <t xml:space="preserve">IEX terms: content for 'personal, non-commercial purpose' only; fee schedule 'available on request'. Backtests on public 15-min data are free; a product feed needs a licence.</t>
  </si>
  <si>
    <t xml:space="preserve">Data cost per customer (telemetry is customer-supplied)</t>
  </si>
  <si>
    <t xml:space="preserve">Customer telemetry; IEX prices covered by the fixed licence above.</t>
  </si>
  <si>
    <t xml:space="preserve">Compute / storage per customer (telemetry ingestion, 15-min optimisation)</t>
  </si>
  <si>
    <t xml:space="preserve">Heavier than F1/F2: per-site time series and daily optimisation runs.</t>
  </si>
  <si>
    <t xml:space="preserve">Embedded RE forecasting for FDRE compliance needs NWP inputs; Open-Meteo Professional $99/month.</t>
  </si>
  <si>
    <t xml:space="preserve">Integration engineer needed early (EMS variety).</t>
  </si>
  <si>
    <t xml:space="preserve">Exceeds reachable segment in all scenarios; shown for completeness.</t>
  </si>
  <si>
    <t xml:space="preserve">Not reachable; shown for completeness.</t>
  </si>
  <si>
    <t xml:space="preserve">Outbound hours per qualified prospect (technical pre-sales, backtest demo)</t>
  </si>
  <si>
    <t xml:space="preserve">Technical sale to asset-management / O&amp;M head.</t>
  </si>
  <si>
    <t xml:space="preserve">Travel per prospect (site visits; Noida / Hyderabad / Pune / Chennai)</t>
  </si>
  <si>
    <t xml:space="preserve">Pace Digitek is in Bengaluru; others are national.</t>
  </si>
  <si>
    <t xml:space="preserve">Conferences / industry events (storage events)</t>
  </si>
  <si>
    <t xml:space="preserve">Infra / EPC-origin companies; no data in the notes.</t>
  </si>
  <si>
    <t xml:space="preserve">Legend: blue = input; black = formula; column F picks the active scenario with INDEX(C:E, 1, $C$3). 'Must validate = YES' rows have no measured evidence and are the subject of experiments F2-A, F2-B and F1-A0/A (decision_brief.md §7).</t>
  </si>
  <si>
    <t xml:space="preserve">Unit economics per finalist (columns C–E = scenarios; F = active scenario)</t>
  </si>
  <si>
    <t xml:space="preserve">All cells are formulas on the Assumptions sheet. Steady-state ARPA excludes one-time fees. Payback uses steady-state gross margin. LTV = one-time fee + annual gross margin × (1 / churn), undiscounted.</t>
  </si>
  <si>
    <t xml:space="preserve">Metric</t>
  </si>
  <si>
    <t xml:space="preserve">Formula / note</t>
  </si>
  <si>
    <t xml:space="preserve">F2 — C&amp;I open-access settlement &amp; procurement engine</t>
  </si>
  <si>
    <t xml:space="preserve">Annual OA bill per site</t>
  </si>
  <si>
    <t xml:space="preserve">₹ / site / yr</t>
  </si>
  <si>
    <t xml:space="preserve">Link: MU × ₹/kWh.</t>
  </si>
  <si>
    <t xml:space="preserve">SaaS revenue per account (sites × ₹/site/yr)</t>
  </si>
  <si>
    <t xml:space="preserve">₹ / yr</t>
  </si>
  <si>
    <t xml:space="preserve">One-time audit success fee (first engagement)</t>
  </si>
  <si>
    <t xml:space="preserve">₹ (one-time)</t>
  </si>
  <si>
    <t xml:space="preserve">Formula: bill × sites × recoverable % × fee % × months audited / 12.</t>
  </si>
  <si>
    <t xml:space="preserve">Recurring success fees per account per year</t>
  </si>
  <si>
    <t xml:space="preserve">Formula: bill × sites × recoverable % × fee % × recurring share.</t>
  </si>
  <si>
    <t xml:space="preserve">Year-1 revenue per account (SaaS + one-time fee)</t>
  </si>
  <si>
    <t xml:space="preserve">ARPA, steady state (SaaS + recurring fees)</t>
  </si>
  <si>
    <t xml:space="preserve">Headline ARPA.</t>
  </si>
  <si>
    <t xml:space="preserve">Variable cost per account per year (data + compute + support hours × rate)</t>
  </si>
  <si>
    <t xml:space="preserve">Gross margin per account per year</t>
  </si>
  <si>
    <t xml:space="preserve">Gross margin %</t>
  </si>
  <si>
    <t xml:space="preserve">CAC (outbound hours × rate + travel) ÷ win rate + event spend per new customer</t>
  </si>
  <si>
    <t xml:space="preserve">₹ / customer</t>
  </si>
  <si>
    <t xml:space="preserve">Onboarding cost (hours × rate)</t>
  </si>
  <si>
    <t xml:space="preserve">Total cost to acquire and onboard</t>
  </si>
  <si>
    <t xml:space="preserve">Payback on steady-state gross margin</t>
  </si>
  <si>
    <t xml:space="preserve">Formula: (CAC + onboarding) ÷ (annual GM / 12).</t>
  </si>
  <si>
    <t xml:space="preserve">Payback net of one-time fee</t>
  </si>
  <si>
    <t xml:space="preserve">One-time audit fee offsets acquisition cost (F2 only).</t>
  </si>
  <si>
    <t xml:space="preserve">Expected customer lifetime (1 / churn)</t>
  </si>
  <si>
    <t xml:space="preserve">years</t>
  </si>
  <si>
    <t xml:space="preserve">LTV (one-time fee + GM × lifetime, undiscounted)</t>
  </si>
  <si>
    <t xml:space="preserve">LTV / cost to acquire</t>
  </si>
  <si>
    <t xml:space="preserve">x</t>
  </si>
  <si>
    <t xml:space="preserve">Receivables tied up per account (ARPA × DSO / 365)</t>
  </si>
  <si>
    <t xml:space="preserve">F1 — ISTS connectivity / GNA intelligence</t>
  </si>
  <si>
    <t xml:space="preserve">Subscription revenue per account</t>
  </si>
  <si>
    <t xml:space="preserve">Report revenue per account per year</t>
  </si>
  <si>
    <t xml:space="preserve">One-time fees</t>
  </si>
  <si>
    <t xml:space="preserve">None modelled.</t>
  </si>
  <si>
    <t xml:space="preserve">ARPA, steady state</t>
  </si>
  <si>
    <t xml:space="preserve">Headline ARPA (before the CTUIL gate).</t>
  </si>
  <si>
    <t xml:space="preserve">CTUIL permission gate (1 = permission assumed, 0 = blocked)</t>
  </si>
  <si>
    <t xml:space="preserve">Conservative = refused. If 0, revenue is not bankable: see Scenarios.</t>
  </si>
  <si>
    <t xml:space="preserve">Bankable ARPA (ARPA × gate)</t>
  </si>
  <si>
    <t xml:space="preserve">F3 — BESS / FDRE dispatch &amp; compliance</t>
  </si>
  <si>
    <t xml:space="preserve">Fixed fee revenue per account (₹/MW/month × MW × 12)</t>
  </si>
  <si>
    <t xml:space="preserve">Revenue share on merchant uplift per account</t>
  </si>
  <si>
    <t xml:space="preserve">Formula: MW × merchant share × ₹/MW/yr merchant revenue × uplift % × vendor share %.</t>
  </si>
  <si>
    <t xml:space="preserve">Integration is costed, not charged (could be charged: test in interviews).</t>
  </si>
  <si>
    <t xml:space="preserve">Fixed fee as % of capacity charge (₹2.4 lakh/MW/month reference)</t>
  </si>
  <si>
    <t xml:space="preserve">Reference: MSEDCL Sep-2026 award ₹2.38–2.40 lakh/MW/month (S24).</t>
  </si>
  <si>
    <t xml:space="preserve">Path to first revenue — F2, month-by-month (active scenario)</t>
  </si>
  <si>
    <t xml:space="preserve">Input</t>
  </si>
  <si>
    <t xml:space="preserve">Value</t>
  </si>
  <si>
    <t xml:space="preserve">Note</t>
  </si>
  <si>
    <t xml:space="preserve">Founder capital available</t>
  </si>
  <si>
    <t xml:space="preserve">Default ₹10 lakh (brief: founder has limited capital).</t>
  </si>
  <si>
    <t xml:space="preserve">Founder stipend</t>
  </si>
  <si>
    <t xml:space="preserve">₹ per month, cash. Also used as founder cost in Scenarios opex.</t>
  </si>
  <si>
    <t xml:space="preserve">Founder delivery hours available per month (audits + support)</t>
  </si>
  <si>
    <t xml:space="preserve">Remaining founder time goes to sales and building.</t>
  </si>
  <si>
    <t xml:space="preserve">Prospect meetings per pilot started</t>
  </si>
  <si>
    <t xml:space="preserve">Travel cost driver: meetings × ₹ per prospect trip.</t>
  </si>
  <si>
    <t xml:space="preserve">Pilot → paying conversion rate</t>
  </si>
  <si>
    <t xml:space="preserve">Experiment F2-B pass threshold: ≥3 of 10 accept a success-fee audit. Hypothesis.</t>
  </si>
  <si>
    <t xml:space="preserve">Months from pilot start to conversion</t>
  </si>
  <si>
    <t xml:space="preserve">Link: active sales cycle.</t>
  </si>
  <si>
    <t xml:space="preserve">Months from conversion to recovery cash (audit fee billable)</t>
  </si>
  <si>
    <t xml:space="preserve">Link: active recovery lag.</t>
  </si>
  <si>
    <t xml:space="preserve">DSO in months (rounded)</t>
  </si>
  <si>
    <t xml:space="preserve">Link: active DSO / 30.</t>
  </si>
  <si>
    <t xml:space="preserve">SaaS billing per paying customer per month</t>
  </si>
  <si>
    <t xml:space="preserve">Link: active ARPA (SaaS) / 12.</t>
  </si>
  <si>
    <t xml:space="preserve">One-time audit success fee per conversion</t>
  </si>
  <si>
    <t xml:space="preserve">Link: active one-time fee.</t>
  </si>
  <si>
    <t xml:space="preserve">Audit / onboarding hours per pilot</t>
  </si>
  <si>
    <t xml:space="preserve">Link.</t>
  </si>
  <si>
    <t xml:space="preserve">Support hours per paying customer per month</t>
  </si>
  <si>
    <t xml:space="preserve">Contract analyst rate (₹/hour) when founder hours are exceeded</t>
  </si>
  <si>
    <t xml:space="preserve">Travel per prospect meeting</t>
  </si>
  <si>
    <t xml:space="preserve">Fixed compute per month (₹)</t>
  </si>
  <si>
    <t xml:space="preserve">Link: bare VM $ × USD/INR.</t>
  </si>
  <si>
    <t xml:space="preserve">Compute per paying customer per month</t>
  </si>
  <si>
    <t xml:space="preserve">Events spend per month</t>
  </si>
  <si>
    <t xml:space="preserve">Link: annual / 12.</t>
  </si>
  <si>
    <t xml:space="preserve">Data subscription per month (JMK report)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</si>
  <si>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</si>
  <si>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</si>
  <si>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</si>
  <si>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</si>
  <si>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</si>
  <si>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</si>
  <si>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</si>
  <si>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</si>
  <si>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</si>
  <si>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</si>
  <si>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</si>
  <si>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</si>
  <si>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</si>
  <si>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Month number</t>
  </si>
  <si>
    <t xml:space="preserve">Pilots (success-fee audits) started</t>
  </si>
  <si>
    <t xml:space="preserve">INPUT: pilot plan. Default: 1 in month 1 then 2 per month.</t>
  </si>
  <si>
    <t xml:space="preserve">Conversions to paying (pilots started 'cycle' months earlier × conversion rate)</t>
  </si>
  <si>
    <t xml:space="preserve">Paying customers (cumulative)</t>
  </si>
  <si>
    <t xml:space="preserve">SaaS billed</t>
  </si>
  <si>
    <t xml:space="preserve">Audit success fee billed (conversions 'lag' months earlier × fee)</t>
  </si>
  <si>
    <t xml:space="preserve">Revenue recognised (billed)</t>
  </si>
  <si>
    <t xml:space="preserve">Cash in: SaaS (billed 'DSO months' earlier)</t>
  </si>
  <si>
    <t xml:space="preserve">Cash in: audit fees (billed 'DSO months' earlier)</t>
  </si>
  <si>
    <t xml:space="preserve">Total cash in</t>
  </si>
  <si>
    <t xml:space="preserve">Delivery hours needed (pilots × audit hours + customers × support hours)</t>
  </si>
  <si>
    <t xml:space="preserve">Cost: founder stipend</t>
  </si>
  <si>
    <t xml:space="preserve">Cost: contract analyst (hours above founder capacity × rate)</t>
  </si>
  <si>
    <t xml:space="preserve">Cost: compute (fixed + per customer)</t>
  </si>
  <si>
    <t xml:space="preserve">Cost: travel (pilots × meetings × ₹/trip)</t>
  </si>
  <si>
    <t xml:space="preserve">Cost: events / associations</t>
  </si>
  <si>
    <t xml:space="preserve">Cost: data subscription</t>
  </si>
  <si>
    <t xml:space="preserve">Total cash out (burn)</t>
  </si>
  <si>
    <t xml:space="preserve">Net cash flow</t>
  </si>
  <si>
    <t xml:space="preserve">Cumulative burn</t>
  </si>
  <si>
    <t xml:space="preserve">Cumulative cash in</t>
  </si>
  <si>
    <t xml:space="preserve">Cash balance (budget + cumulative cash in − cumulative burn)</t>
  </si>
  <si>
    <t xml:space="preserve">Runway flag</t>
  </si>
  <si>
    <t xml:space="preserve">First-cash marker (month number when cash in first &gt; 0)</t>
  </si>
  <si>
    <t xml:space="preserve">Helper for the summary below.</t>
  </si>
  <si>
    <t xml:space="preserve">Summary (12 months)</t>
  </si>
  <si>
    <t xml:space="preserve">First month with cash in</t>
  </si>
  <si>
    <t xml:space="preserve">First month with revenue billed</t>
  </si>
  <si>
    <t xml:space="preserve">Pilots started in 12 months</t>
  </si>
  <si>
    <t xml:space="preserve">Paying customers at month 12</t>
  </si>
  <si>
    <t xml:space="preserve">Revenue billed in 12 months</t>
  </si>
  <si>
    <t xml:space="preserve">Cash collected in 12 months</t>
  </si>
  <si>
    <t xml:space="preserve">Cumulative burn at month 12</t>
  </si>
  <si>
    <t xml:space="preserve">Lowest cash balance in the year</t>
  </si>
  <si>
    <t xml:space="preserve">Cash balance at month 12</t>
  </si>
  <si>
    <t xml:space="preserve">Months of runway breached?</t>
  </si>
  <si>
    <t xml:space="preserve">Exit ARR (SaaS only, customers × SaaS/yr)</t>
  </si>
  <si>
    <t xml:space="preserve">Reading: success-fee cash arrives only after conversion + recovery lag + DSO, so the first year is financed by the founder budget; the 'First month with revenue billed' formula assumes revenue, once started, continues every month (true for this plan).</t>
  </si>
  <si>
    <t xml:space="preserve">Scenarios — steady-state annual P&amp;L at 10 / 100 / 1,000 customers, all three scenarios</t>
  </si>
  <si>
    <t xml:space="preserve">Independent of the selector. Customer counts in row 5 are inputs. Opex includes replacement acquisition (customers × churn × cost to acquire). Feasibility flags compare the customer count with the reachable segment and with segment × win rate.</t>
  </si>
  <si>
    <t xml:space="preserve">Customers (input)</t>
  </si>
  <si>
    <t xml:space="preserve">Customers</t>
  </si>
  <si>
    <t xml:space="preserve">count</t>
  </si>
  <si>
    <t xml:space="preserve">Recurring revenue (customers × steady-state ARPA)</t>
  </si>
  <si>
    <t xml:space="preserve">One-time fees on replacement customers (customers × churn × one-time fee)</t>
  </si>
  <si>
    <t xml:space="preserve">Total revenue</t>
  </si>
  <si>
    <t xml:space="preserve">COGS (customers × variable cost)</t>
  </si>
  <si>
    <t xml:space="preserve">Gross margin</t>
  </si>
  <si>
    <t xml:space="preserve">Engineers at this stage (excl. founder)</t>
  </si>
  <si>
    <t xml:space="preserve">Stage lookup on Assumptions eng10 / eng100 / eng1000.</t>
  </si>
  <si>
    <t xml:space="preserve">Opex: founder stipend</t>
  </si>
  <si>
    <t xml:space="preserve">From Path to first revenue (input).</t>
  </si>
  <si>
    <t xml:space="preserve">Opex: engineers</t>
  </si>
  <si>
    <t xml:space="preserve">Opex: G&amp;A fixed</t>
  </si>
  <si>
    <t xml:space="preserve">Opex: conferences / events</t>
  </si>
  <si>
    <t xml:space="preserve">Opex: fixed data / licence</t>
  </si>
  <si>
    <t xml:space="preserve">JMK report.</t>
  </si>
  <si>
    <t xml:space="preserve">Opex: fixed compute (+ Open-Meteo if flagged) × USD/INR</t>
  </si>
  <si>
    <t xml:space="preserve">Opex: replacement acquisition (customers × churn × cost to acquire)</t>
  </si>
  <si>
    <t xml:space="preserve">Total opex</t>
  </si>
  <si>
    <t xml:space="preserve">EBITDA</t>
  </si>
  <si>
    <t xml:space="preserve">EBITDA margin</t>
  </si>
  <si>
    <t xml:space="preserve">Reachable segment (organisations)</t>
  </si>
  <si>
    <t xml:space="preserve">Customers reachable at the assumed win rate (segment × win rate)</t>
  </si>
  <si>
    <t xml:space="preserve">Feasibility flag</t>
  </si>
  <si>
    <t xml:space="preserve">CTUIL licence placeholder (unknown).</t>
  </si>
  <si>
    <t xml:space="preserve">CTUIL permission gate</t>
  </si>
  <si>
    <t xml:space="preserve">Red-team Q5: reuse needs CTUIL permission; margins PDFs stamped RESTRICTED.</t>
  </si>
  <si>
    <t xml:space="preserve">Bankable revenue (total revenue × gate)</t>
  </si>
  <si>
    <t xml:space="preserve">IEX data licence placeholder (unknown).</t>
  </si>
  <si>
    <t xml:space="preserve">MW under management (customers × MW per customer)</t>
  </si>
  <si>
    <t xml:space="preserve">Share of identified Tier-2 contracted pipeline (≈3,900 MW, S28)</t>
  </si>
  <si>
    <t xml:space="preserve">&gt;100% = more MW than the identified 2026–28 Tier-2 pipeline.</t>
  </si>
  <si>
    <t xml:space="preserve">Sensitivity — F2, Base scenario (Assumptions column D), computed with formulas (no Data Tables)</t>
  </si>
  <si>
    <t xml:space="preserve">Section 1: one-way tornado on five drivers. Section 2: two-way grid, SaaS price × win rate. Section 3: calculation grid behind both (each column recomputes the full F2 chain with one driver moved).</t>
  </si>
  <si>
    <t xml:space="preserve">Low / high shock applied to each driver (input)</t>
  </si>
  <si>
    <t xml:space="preserve">← −30% / +30% of the base value</t>
  </si>
  <si>
    <t xml:space="preserve">Section 1 — one-way sensitivities (tornado tables)</t>
  </si>
  <si>
    <t xml:space="preserve">Output: Payback months</t>
  </si>
  <si>
    <t xml:space="preserve">Base value</t>
  </si>
  <si>
    <t xml:space="preserve">Driver low value</t>
  </si>
  <si>
    <t xml:space="preserve">Driver high value</t>
  </si>
  <si>
    <t xml:space="preserve">Output @ low</t>
  </si>
  <si>
    <t xml:space="preserve">Output @ high</t>
  </si>
  <si>
    <t xml:space="preserve">Swing (abs)</t>
  </si>
  <si>
    <t xml:space="preserve">Base case</t>
  </si>
  <si>
    <t xml:space="preserve">SaaS price (₹/site/yr)</t>
  </si>
  <si>
    <t xml:space="preserve">Win rate</t>
  </si>
  <si>
    <t xml:space="preserve">Recoverable % of bill</t>
  </si>
  <si>
    <t xml:space="preserve">Annual churn</t>
  </si>
  <si>
    <t xml:space="preserve">CAC driver: outbound hours per prospect</t>
  </si>
  <si>
    <t xml:space="preserve">Output: LTV / cost to acquire</t>
  </si>
  <si>
    <t xml:space="preserve">Output: EBITDA at 100 customers (₹/yr)</t>
  </si>
  <si>
    <t xml:space="preserve">Section 2 — two-way: SaaS price (rows) × win rate (columns)</t>
  </si>
  <si>
    <t xml:space="preserve">Output: Payback months   (multipliers on base, blue = editable)</t>
  </si>
  <si>
    <t xml:space="preserve">price ↓ / win →</t>
  </si>
  <si>
    <t xml:space="preserve">win rate →</t>
  </si>
  <si>
    <t xml:space="preserve">Output: LTV / cost to acquire   (multipliers on base, blue = editable)</t>
  </si>
  <si>
    <t xml:space="preserve">Section 3 — calculation grid (column B = base; each pair of columns moves one driver by the shock in B4 / C4)</t>
  </si>
  <si>
    <t xml:space="preserve">Input / output</t>
  </si>
  <si>
    <t xml:space="preserve">SaaS price (₹/site/yr) low</t>
  </si>
  <si>
    <t xml:space="preserve">SaaS price (₹/site/yr) high</t>
  </si>
  <si>
    <t xml:space="preserve">Win rate low</t>
  </si>
  <si>
    <t xml:space="preserve">Win rate high</t>
  </si>
  <si>
    <t xml:space="preserve">Recoverable % of bill low</t>
  </si>
  <si>
    <t xml:space="preserve">Recoverable % of bill high</t>
  </si>
  <si>
    <t xml:space="preserve">Annual churn low</t>
  </si>
  <si>
    <t xml:space="preserve">Annual churn high</t>
  </si>
  <si>
    <t xml:space="preserve">CAC driver: outbound hours per prospect low</t>
  </si>
  <si>
    <t xml:space="preserve">CAC driver: outbound hours per prospect high</t>
  </si>
  <si>
    <t xml:space="preserve">SaaS ₹/site/yr</t>
  </si>
  <si>
    <t xml:space="preserve">Sites per customer</t>
  </si>
  <si>
    <t xml:space="preserve">Success fee %</t>
  </si>
  <si>
    <t xml:space="preserve">Months audited</t>
  </si>
  <si>
    <t xml:space="preserve">Recurring share</t>
  </si>
  <si>
    <t xml:space="preserve">Data per customer ₹/yr</t>
  </si>
  <si>
    <t xml:space="preserve">Compute per customer ₹/mo</t>
  </si>
  <si>
    <t xml:space="preserve">Support hours/customer/mo</t>
  </si>
  <si>
    <t xml:space="preserve">Labour rate ₹/h</t>
  </si>
  <si>
    <t xml:space="preserve">Outbound hours per prospect</t>
  </si>
  <si>
    <t xml:space="preserve">Travel per prospect ₹</t>
  </si>
  <si>
    <t xml:space="preserve">Events ₹/yr</t>
  </si>
  <si>
    <t xml:space="preserve">Planned new customers/yr</t>
  </si>
  <si>
    <t xml:space="preserve">Onboarding hours</t>
  </si>
  <si>
    <t xml:space="preserve">Churn</t>
  </si>
  <si>
    <t xml:space="preserve">Engineers at 100</t>
  </si>
  <si>
    <t xml:space="preserve">Engineer ₹/mo</t>
  </si>
  <si>
    <t xml:space="preserve">G&amp;A ₹/yr</t>
  </si>
  <si>
    <t xml:space="preserve">Fixed data ₹/yr</t>
  </si>
  <si>
    <t xml:space="preserve">Fixed compute $/mo</t>
  </si>
  <si>
    <t xml:space="preserve">USD/INR</t>
  </si>
  <si>
    <t xml:space="preserve">Founder stipend ₹/mo</t>
  </si>
  <si>
    <t xml:space="preserve">ARPA steady state ₹/yr</t>
  </si>
  <si>
    <t xml:space="preserve">One-time audit fee ₹</t>
  </si>
  <si>
    <t xml:space="preserve">Variable cost ₹/yr</t>
  </si>
  <si>
    <t xml:space="preserve">Gross margin ₹/yr</t>
  </si>
  <si>
    <t xml:space="preserve">CAC ₹</t>
  </si>
  <si>
    <t xml:space="preserve">Cost to acquire + onboard ₹</t>
  </si>
  <si>
    <t xml:space="preserve">Payback months</t>
  </si>
  <si>
    <t xml:space="preserve">EBITDA at 100 customers ₹/yr</t>
  </si>
  <si>
    <t xml:space="preserve">Operational constraints — what breaks at 10 / 100 / 1,000 customers (active scenario)</t>
  </si>
  <si>
    <t xml:space="preserve">Item</t>
  </si>
  <si>
    <t xml:space="preserve">10 customers</t>
  </si>
  <si>
    <t xml:space="preserve">100 customers</t>
  </si>
  <si>
    <t xml:space="preserve">1,000 customers</t>
  </si>
  <si>
    <t xml:space="preserve">What breaks / qualitative note</t>
  </si>
  <si>
    <t xml:space="preserve">F2 — settlement engine</t>
  </si>
  <si>
    <t xml:space="preserve">Generator pairings (statement sets) per site per month</t>
  </si>
  <si>
    <t xml:space="preserve">sets</t>
  </si>
  <si>
    <t xml:space="preserve">SLDC lists show the same consumer under several IPP groupings; each pairing has its own banking / lapse statement.</t>
  </si>
  <si>
    <t xml:space="preserve">Manual hours to collect + reconcile one statement set</t>
  </si>
  <si>
    <t xml:space="preserve">Until DISCOM / SLDC exports are automated; no SLDC publishes OA energy-accounting statements online (Karnataka SLDC page has none).</t>
  </si>
  <si>
    <t xml:space="preserve">State rule libraries that must be current at this stage</t>
  </si>
  <si>
    <t xml:space="preserve">states</t>
  </si>
  <si>
    <t xml:space="preserve">Karnataka only → KA + TN + MH → six states (adds GJ, RJ, Punjab with 15-minute banking).</t>
  </si>
  <si>
    <t xml:space="preserve">Hours per month to maintain one state rule library (tariff orders, APTEL / HC rulings)</t>
  </si>
  <si>
    <t xml:space="preserve">Karnataka alone has two concurrent banking regimes plus annual surcharge re-sets.</t>
  </si>
  <si>
    <t xml:space="preserve">Misstatement rate on audited claims (sign-off liability driver)</t>
  </si>
  <si>
    <t xml:space="preserve">If the engine signs off a claim that is later reversed, the customer may claw back fees or litigate.</t>
  </si>
  <si>
    <t xml:space="preserve">Founder delivery hours available per month</t>
  </si>
  <si>
    <t xml:space="preserve">Same as Path to first revenue input.</t>
  </si>
  <si>
    <t xml:space="preserve">Billed sites</t>
  </si>
  <si>
    <t xml:space="preserve">Statement sets per month</t>
  </si>
  <si>
    <t xml:space="preserve">Hours: statement collection + reconciliation</t>
  </si>
  <si>
    <t xml:space="preserve">hours / mo</t>
  </si>
  <si>
    <t xml:space="preserve">Breaks first: manual collection from customers' DISCOM portals / mailboxes does not scale past ~100 sites without customer-side automation or DISCOM API access.</t>
  </si>
  <si>
    <t xml:space="preserve">Hours: support (customers × support hours)</t>
  </si>
  <si>
    <t xml:space="preserve">Hours: onboarding of replacement customers (customers × churn / 12 × onboarding hours)</t>
  </si>
  <si>
    <t xml:space="preserve">Hours: rule-library maintenance (states × hours per state)</t>
  </si>
  <si>
    <t xml:space="preserve">Coverage, not volume: every new state is a new regulator, SLDC format and litigation history.</t>
  </si>
  <si>
    <t xml:space="preserve">Total delivery hours per month</t>
  </si>
  <si>
    <t xml:space="preserve">Delivery FTEs required (hours ÷ hours per FTE)</t>
  </si>
  <si>
    <t xml:space="preserve">Staffing flag</t>
  </si>
  <si>
    <t xml:space="preserve">₹ of recoveries claimed per year (customers × bill × sites × recoverable %)</t>
  </si>
  <si>
    <t xml:space="preserve">Amount the engine signs off and customers dispute with DISCOMs.</t>
  </si>
  <si>
    <t xml:space="preserve">Sign-off liability exposure (claims × misstatement rate)</t>
  </si>
  <si>
    <t xml:space="preserve">At 1,000 customers this is a professional-indemnity and audit-trail problem: needs insurance, versioned rule libraries and customer sign-off workflow.</t>
  </si>
  <si>
    <t xml:space="preserve">Segment check</t>
  </si>
  <si>
    <t xml:space="preserve">1,000 customers requires national coverage (not three states) and a channel (associations, traders) rather than direct sales.</t>
  </si>
  <si>
    <t xml:space="preserve">F1 — connectivity intelligence</t>
  </si>
  <si>
    <t xml:space="preserve">CTUIL / CERC / RLDC documents released per month (parse + QA)</t>
  </si>
  <si>
    <t xml:space="preserve">docs</t>
  </si>
  <si>
    <t xml:space="preserve">Monthly bay-margin PDFs (3 per release), grant lists, cluster declarations, CERC orders; formats change without notice.</t>
  </si>
  <si>
    <t xml:space="preserve">Hours per document (parse QA, corrupt PDF streams)</t>
  </si>
  <si>
    <t xml:space="preserve">Margins PDF had 28 corrupt flate streams on extraction.</t>
  </si>
  <si>
    <t xml:space="preserve">Hours per paid report</t>
  </si>
  <si>
    <t xml:space="preserve">Substation-selection / reallocation analysis.</t>
  </si>
  <si>
    <t xml:space="preserve">Bank guarantee at risk per customer (advice liability reference)</t>
  </si>
  <si>
    <t xml:space="preserve">₹</t>
  </si>
  <si>
    <t xml:space="preserve">Encashments of ₹3.1–11.5 Cr per developer (Prerak, Datta, Sprng); midpoint used.</t>
  </si>
  <si>
    <t xml:space="preserve">Hours: document parsing + QA (fixed, independent of customers)</t>
  </si>
  <si>
    <t xml:space="preserve">Fixed cost of staying current; the product is only as good as last month's parse.</t>
  </si>
  <si>
    <t xml:space="preserve">Hours: paid reports (customers × reports/yr × hours / 12)</t>
  </si>
  <si>
    <t xml:space="preserve">Reports are bespoke analysis: they do not scale without templating.</t>
  </si>
  <si>
    <t xml:space="preserve">Hours: alert curation / support</t>
  </si>
  <si>
    <t xml:space="preserve">Hours: onboarding of replacement customers</t>
  </si>
  <si>
    <t xml:space="preserve">Delivery FTEs required</t>
  </si>
  <si>
    <t xml:space="preserve">Advice liability reference (customers × BG at risk)</t>
  </si>
  <si>
    <t xml:space="preserve">A wrong 'effective-date' prediction can cost a customer its BG; terms of service must disclaim, which weakens the value proposition.</t>
  </si>
  <si>
    <t xml:space="preserve">Data-reuse gate</t>
  </si>
  <si>
    <t xml:space="preserve">Copyright policy requires permission; margins PDFs stamped RESTRICTED (red-team Q5).</t>
  </si>
  <si>
    <t xml:space="preserve">Buyer universe is a few hundred developers: 1,000 customers is not reachable in any scenario.</t>
  </si>
  <si>
    <t xml:space="preserve">F3 — dispatch &amp; compliance</t>
  </si>
  <si>
    <t xml:space="preserve">Capacity charge reference</t>
  </si>
  <si>
    <t xml:space="preserve">MSEDCL Sep-2026 award ₹2.38–2.40 lakh/MW/month (S24).</t>
  </si>
  <si>
    <t xml:space="preserve">Availability shortfall exposure (share of capacity charge at risk per year)</t>
  </si>
  <si>
    <t xml:space="preserve">95% annual availability test; LDs on shortfall (contract-specific, not quantified in the notes).</t>
  </si>
  <si>
    <t xml:space="preserve">Minimum dispatch-desk hours per month once any merchant MW is live (24×7 cover)</t>
  </si>
  <si>
    <t xml:space="preserve">A merchant / FDRE desk needs round-the-clock cover regardless of customer count.</t>
  </si>
  <si>
    <t xml:space="preserve">MW under management</t>
  </si>
  <si>
    <t xml:space="preserve">Hours: dispatch / compliance support (customers × hours)</t>
  </si>
  <si>
    <t xml:space="preserve">Hours: 24×7 desk floor (if merchant share &gt; 0)</t>
  </si>
  <si>
    <t xml:space="preserve">Breaks first: a solo founder cannot provide 24×7 dispatch cover; needs ≥4 operators or full automation with customer-side fallback.</t>
  </si>
  <si>
    <t xml:space="preserve">Hours: integrations for replacement customers</t>
  </si>
  <si>
    <t xml:space="preserve">Every OEM EMS (Envision, Fluence, Sungrow, indigenous EMS) is a separate integration.</t>
  </si>
  <si>
    <t xml:space="preserve">Capacity charge at risk under availability tests (MW × charge × 12 × exposure %)</t>
  </si>
  <si>
    <t xml:space="preserve">The compliance module signs the monthly availability certificate: errors translate into LDs the customer will try to recover.</t>
  </si>
  <si>
    <t xml:space="preserve">≈19 named Tier-2 awardees today; 100+ customers requires the 2027–29 pipeline to commission and merchant rules to settle.</t>
  </si>
  <si>
    <t xml:space="preserve">Sources — every anchor used in Assumptions (S-number ↔ column H on Assumptions)</t>
  </si>
  <si>
    <t xml:space="preserve">Evidence class as recorded in the research note. URLs were accessed by the research tracks on 2026-10-17; no new web research was done for this workbook. 'local note' = finding lives only in the named note.</t>
  </si>
  <si>
    <t xml:space="preserve">ID</t>
  </si>
  <si>
    <t xml:space="preserve">Anchor / claim</t>
  </si>
  <si>
    <t xml:space="preserve">Research note</t>
  </si>
  <si>
    <t xml:space="preserve">URL</t>
  </si>
  <si>
    <t xml:space="preserve">S1</t>
  </si>
  <si>
    <t xml:space="preserve">Finalist definitions and post-red-team ranking F2 (71) &gt; F1 (63) &gt; F3 (60); experiments F2-A, F2-B, F1-A0/A</t>
  </si>
  <si>
    <t xml:space="preserve">ranking</t>
  </si>
  <si>
    <t xml:space="preserve">Verified (coordinator synthesis)</t>
  </si>
  <si>
    <t xml:space="preserve">decision_brief.md §3, §5, §7</t>
  </si>
  <si>
    <t xml:space="preserve">local note</t>
  </si>
  <si>
    <t xml:space="preserve">JMK 'Open Access C&amp;I RE Market in India' report price</t>
  </si>
  <si>
    <t xml:space="preserve">INR 2 lakh + 18% GST (≈ USD 2,700), quarterly updates</t>
  </si>
  <si>
    <t xml:space="preserve">opportunities_beyond_thesis.md H1; f2_f3_commercial_facts.md F2-Q3</t>
  </si>
  <si>
    <t xml:space="preserve">https://jmkresearch.com/open-access-ci-re-market-in-india/</t>
  </si>
  <si>
    <t xml:space="preserve">F2 pricing idea: success fee on recovered overcharges, then ₹2–5 lakh/yr/site SaaS; enterprise ₹15–40 lakh/yr</t>
  </si>
  <si>
    <t xml:space="preserve">hypothesis</t>
  </si>
  <si>
    <t xml:space="preserve">opportunities_beyond_thesis.md H1 (Inferences); f2_f3_commercial_facts.md F2-Q3</t>
  </si>
  <si>
    <t xml:space="preserve">https://www.herofutureenergies.com/blog/solar-open-access-for-commercial-industrial-consumers-india/</t>
  </si>
  <si>
    <t xml:space="preserve">S4</t>
  </si>
  <si>
    <t xml:space="preserve">Energy-audit price bands: mid-size factory ₹1.5–4 lakh; large plant ₹3–8 lakh; BEE Designated Consumer ₹5–15 lakh</t>
  </si>
  <si>
    <t xml:space="preserve">₹ lakh per audit</t>
  </si>
  <si>
    <t xml:space="preserve">Estimate (vendor guide)</t>
  </si>
  <si>
    <t xml:space="preserve">f2_f3_commercial_facts.md F2-Q3</t>
  </si>
  <si>
    <t xml:space="preserve">https://elion.co.in/energy-audit-in-india-complete-guide-to-bee-compliance-process-cost-savings-2026/</t>
  </si>
  <si>
    <t xml:space="preserve">S5</t>
  </si>
  <si>
    <t xml:space="preserve">Zenatix SaaS fee 8–12% of energy bill; ~₹30,000 per site per year (2017)</t>
  </si>
  <si>
    <t xml:space="preserve">% of bill; ₹/site/yr</t>
  </si>
  <si>
    <t xml:space="preserve">Corroborated (dated)</t>
  </si>
  <si>
    <t xml:space="preserve">https://www.businesstoday.in/magazine/features/story/the-power-people-84654-2017-08-04</t>
  </si>
  <si>
    <t xml:space="preserve">Karnataka SLDC W&amp;B lists: 556 IPPs / 4,924 MW; ≈922 distinct consumer organisations; multi-installation consumers named</t>
  </si>
  <si>
    <t xml:space="preserve">count / MW</t>
  </si>
  <si>
    <t xml:space="preserve">Verified (count) / Estimate (dedupe)</t>
  </si>
  <si>
    <t xml:space="preserve">f2_f3_commercial_facts.md F2-Q1, F2-Q5</t>
  </si>
  <si>
    <t xml:space="preserve">https://kptclsldc.in/WBUpload.aspx</t>
  </si>
  <si>
    <t xml:space="preserve">S7</t>
  </si>
  <si>
    <t xml:space="preserve">Tamil Nadu: '1,500+ MSME textile mills' on OA / group captive</t>
  </si>
  <si>
    <t xml:space="preserve">Estimate (association claim)</t>
  </si>
  <si>
    <t xml:space="preserve">f2_f3_commercial_facts.md F2-Q2</t>
  </si>
  <si>
    <t xml:space="preserve">https://apparelresources.com/business-news/sourcing/struggling-tamil-nadu-textile-industry-urges-not-change-states-energy-policies/</t>
  </si>
  <si>
    <t xml:space="preserve">BESCOM petition: ₹1.65/kWh additional surcharge on ₹1,028.29 Cr stranded cost → implied ≈6,230 MU/yr OA energy</t>
  </si>
  <si>
    <t xml:space="preserve">₹/kWh; MU/yr</t>
  </si>
  <si>
    <t xml:space="preserve">Verified / Estimate (arithmetic)</t>
  </si>
  <si>
    <t xml:space="preserve">f2_f3_commercial_facts.md F2-Q1</t>
  </si>
  <si>
    <t xml:space="preserve">https://solarquarter.com/2025/10/14/bescom-seeks-kerc-approval-to-levy-%e2%82%b91-65-per-unit-additional-surcharge-on-open-access-consumers-in-karnataka/</t>
  </si>
  <si>
    <t xml:space="preserve">S9</t>
  </si>
  <si>
    <t xml:space="preserve">Karnataka additional surcharge ₹0.82/kWh (FY26) → ₹0.40/kWh (from Mar 2026), not on captive drawal</t>
  </si>
  <si>
    <t xml:space="preserve">₹/kWh</t>
  </si>
  <si>
    <t xml:space="preserve">https://mercomindia.com/karnataka-halves-additional-surcharge-for-open-access-power</t>
  </si>
  <si>
    <t xml:space="preserve">MERC ordered MSEDCL to refund unlawfully collected wheeling charges (over-billing precedent); APTEL set aside TN banking orders</t>
  </si>
  <si>
    <t xml:space="preserve">precedent</t>
  </si>
  <si>
    <t xml:space="preserve">https://www.energetica-india.net/keyword/open-access-charges</t>
  </si>
  <si>
    <t xml:space="preserve">Hero Future Energies: landed ₹4.78/unit vs DISCOM ₹7.32; advisory + connection costs paid back in &lt;6 months (amount undisclosed)</t>
  </si>
  <si>
    <t xml:space="preserve">Estimate (vendor blog)</t>
  </si>
  <si>
    <t xml:space="preserve">opportunities_beyond_thesis.md H1</t>
  </si>
  <si>
    <t xml:space="preserve">S12</t>
  </si>
  <si>
    <t xml:space="preserve">Market size: C&amp;I open access ≈30 GW (Dec 2025); 37,558 GEOA approvals; 18.7 GW by FY2024 (JMK/IEEFA)</t>
  </si>
  <si>
    <t xml:space="preserve">GW; approvals</t>
  </si>
  <si>
    <t xml:space="preserve">decision_brief.md §1; opportunities_beyond_thesis.md H1</t>
  </si>
  <si>
    <t xml:space="preserve">https://www.openaccessexchange.com/blog/open-access-renewable-energy-india-2026-state-data/</t>
  </si>
  <si>
    <t xml:space="preserve">Experiment thresholds: F2-A pass = median recoverable ≥1.5% and ≥₹5 lakh/yr (fail &lt;0.5%); F2-B pass = ≥4/10 pay someone today and ≥3/10 accept a success-fee audit</t>
  </si>
  <si>
    <t xml:space="preserve">thresholds</t>
  </si>
  <si>
    <t xml:space="preserve">Hypothesis (test design)</t>
  </si>
  <si>
    <t xml:space="preserve">decision_brief.md §7</t>
  </si>
  <si>
    <t xml:space="preserve">F2 incumbents: Tata Power Trading (settlement, DSM, OA reconciliation), Customized Energy Solutions, Open Access Exchange ('zero upfront'), BridgeIT (bill validation, 1M+ bills)</t>
  </si>
  <si>
    <t xml:space="preserve">competition</t>
  </si>
  <si>
    <t xml:space="preserve">Verified / Estimate</t>
  </si>
  <si>
    <t xml:space="preserve">red_team_counterevidence.md Q1; f2_f3_commercial_facts.md F2-Q4</t>
  </si>
  <si>
    <t xml:space="preserve">https://tatapower.com/what-we-do-nav/energy-services/power-trading-2</t>
  </si>
  <si>
    <t xml:space="preserve">F1 pricing idea: ₹3–10 lakh/yr per developer seat or ₹50k–2 lakh per report (modelled on US interconnection-intelligence vendors)</t>
  </si>
  <si>
    <t xml:space="preserve">opportunities_beyond_thesis.md H7 (Inferences)</t>
  </si>
  <si>
    <t xml:space="preserve">≈70 LoA-holding developers on CTUIL's 11/SM/2026 final list of eligible entities; ≥25 named organisations with documented exposure</t>
  </si>
  <si>
    <t xml:space="preserve">f1_customers_and_buying.md §A</t>
  </si>
  <si>
    <t xml:space="preserve">https://ctuil.in/uploads/assets/178963420036Final%20List%20of%20eligible%20entities%20as%20per%2011SM2026_rev%2001.pdf</t>
  </si>
  <si>
    <t xml:space="preserve">S17</t>
  </si>
  <si>
    <t xml:space="preserve">BG encashments ₹3.1–11.5 Cr per developer (Prerak, Datta, Sprng); compensation rate ₹1,612/MW/day; ReNew/Serentica deposits ₹19.26 Cr</t>
  </si>
  <si>
    <t xml:space="preserve">₹ Cr</t>
  </si>
  <si>
    <t xml:space="preserve">Verified / Corroborated</t>
  </si>
  <si>
    <t xml:space="preserve">f1_customers_and_buying.md §C</t>
  </si>
  <si>
    <t xml:space="preserve">https://ctuil.in/uploads/assets/178645696705Compensation%20charges%20as%20per%20CERC%20order%20dtd%2003-08-2026%20to%20be%20uploaded%20on%20website.pdf</t>
  </si>
  <si>
    <t xml:space="preserve">No software line item for connectivity today; developers use law firms, regulatory consultants and in-house teams; a ₹2–10 lakh/yr tool sits below board thresholds (inference)</t>
  </si>
  <si>
    <t xml:space="preserve">buying</t>
  </si>
  <si>
    <t xml:space="preserve">Inference</t>
  </si>
  <si>
    <t xml:space="preserve">f1_customers_and_buying.md §B, §D</t>
  </si>
  <si>
    <t xml:space="preserve">S19</t>
  </si>
  <si>
    <t xml:space="preserve">Public consultancy price points (not connectivity-specific): RERC regulation-drafting consultancy ≈₹10 lakh; law-firm CERC petition ₹10–50 lakh (unsourced estimate)</t>
  </si>
  <si>
    <t xml:space="preserve">₹ lakh</t>
  </si>
  <si>
    <t xml:space="preserve">Corroborated / Estimate</t>
  </si>
  <si>
    <t xml:space="preserve">f1_customers_and_buying.md §D</t>
  </si>
  <si>
    <t xml:space="preserve">https://www.mercomindia.com/rajasthan-seeks-consultants-help-frame-tariff-regulations</t>
  </si>
  <si>
    <t xml:space="preserve">CTUIL copyright policy: contents 'may not be reproduced partially or fully, without due permission from CTUIL'; margins PDFs stamped RESTRICTED</t>
  </si>
  <si>
    <t xml:space="preserve">legal gate</t>
  </si>
  <si>
    <t xml:space="preserve">red_team_counterevidence.md Q5</t>
  </si>
  <si>
    <t xml:space="preserve">https://ctuil.in/copyright-policy</t>
  </si>
  <si>
    <t xml:space="preserve">CTUIL already publishes a filterable 636-row 'connectivity to be made effective' table with PDF/XLS export; margins remain PDF-only</t>
  </si>
  <si>
    <t xml:space="preserve">incumbent</t>
  </si>
  <si>
    <t xml:space="preserve">red_team_counterevidence.md Q1</t>
  </si>
  <si>
    <t xml:space="preserve">https://ctuil.in/connectivity-effective-list</t>
  </si>
  <si>
    <t xml:space="preserve">S22</t>
  </si>
  <si>
    <t xml:space="preserve">ISTS connectivity application backlog ≈128 GW; 53 GW in-principle; 33 GW without finalised transmission</t>
  </si>
  <si>
    <t xml:space="preserve">GW</t>
  </si>
  <si>
    <t xml:space="preserve">opportunities_beyond_thesis.md H7</t>
  </si>
  <si>
    <t xml:space="preserve">https://www.cercind.gov.in/2026/draft_reg/EM_GNA-fourth-Amnd.pdf</t>
  </si>
  <si>
    <t xml:space="preserve">F3 pricing idea: ₹2,000–5,000/MW/month (≈1–2.5% of a ₹2.2 lakh/MW/month capacity charge) or revenue share on merchant uplift</t>
  </si>
  <si>
    <t xml:space="preserve">opportunities_beyond_thesis.md H2 (Inferences); f2_f3_commercial_facts.md F3-Q3</t>
  </si>
  <si>
    <t xml:space="preserve">S24</t>
  </si>
  <si>
    <t xml:space="preserve">Indian BESS capacity charges ₹1.81–3.32 lakh/MW/month (Kerala, MSEDCL ₹2.38–2.40, KPTCL ₹2.49, TN 4-hour ₹3.15–3.32)</t>
  </si>
  <si>
    <t xml:space="preserve">₹ lakh/MW/month</t>
  </si>
  <si>
    <t xml:space="preserve">f2_f3_commercial_facts.md F3-Q1, F3-Q3</t>
  </si>
  <si>
    <t xml:space="preserve">https://www.energetica-india.net/news/oriana-bsl-engineering-armee-infotech-gk-energy-among-winners-in-msedcl-4-gwh-bess-auction</t>
  </si>
  <si>
    <t xml:space="preserve">IEX terms of use: content for 'personal, non-commercial purpose'; fee schedule 'available on request'; member net worth ₹150 lakh; 15-min DAM data downloadable from 1 Apr 2022</t>
  </si>
  <si>
    <t xml:space="preserve">licence (cost unknown)</t>
  </si>
  <si>
    <t xml:space="preserve">red_team_counterevidence.md Q5; f2_f3_commercial_facts.md F3-Q4</t>
  </si>
  <si>
    <t xml:space="preserve">https://www.iexindia.com/terms-of-uses</t>
  </si>
  <si>
    <t xml:space="preserve">Ember: merchant BESS revenue ≈ INR 2.4 million/MWh/yr (2025); DAM arbitrage 80–85% of earnings; LCOS ≈ INR 4.5/kWh</t>
  </si>
  <si>
    <t xml:space="preserve">₹ m/MWh/yr</t>
  </si>
  <si>
    <t xml:space="preserve">opportunities_beyond_thesis.md H2</t>
  </si>
  <si>
    <t xml:space="preserve">https://ember-energy.org/latest-insights/the-age-of-storage-batteries-primed-for-indias-power-markets/chapter-3-the-economics-of-merchant-bess/</t>
  </si>
  <si>
    <t xml:space="preserve">S27</t>
  </si>
  <si>
    <t xml:space="preserve">≈102 GWh of storage tendered across ~69 tenders in 2025; operational BESS ≈12.6 GWh by Oct 2026 (&gt;50% Adani Khavda)</t>
  </si>
  <si>
    <t xml:space="preserve">GWh</t>
  </si>
  <si>
    <t xml:space="preserve">opportunities_beyond_thesis.md H2; f2_f3_commercial_facts.md F3-Q1</t>
  </si>
  <si>
    <t xml:space="preserve">https://blog.tenderkosh.com/bess-tenders-india-2026/</t>
  </si>
  <si>
    <t xml:space="preserve">Tier-2 BESS awardee list (≈19 organisations: Pace Digitek, Oriana, Bondada, GK Energy, OPG, Sarala, BSL, ArMee, Stockwell, Claro, Shreyas Sortex, Eagle, Sun Drops, DB Power, Juniper, Serentica, IndiGrid, NLC, FDRE winners); contracted pipeline ≈3.9 GW / 8.6 GWh</t>
  </si>
  <si>
    <t xml:space="preserve">count / GW</t>
  </si>
  <si>
    <t xml:space="preserve">f2_f3_commercial_facts.md F3-Q1, F3-Q5</t>
  </si>
  <si>
    <t xml:space="preserve">https://solarquarter.com/2026/02/02/%e2%82%b91-81-lakh-to-%e2%82%b93-15-lakh-kerala-and-tamil-nadu-discover-new-benchmarks-in-standalone-bess-tariffs/</t>
  </si>
  <si>
    <t xml:space="preserve">Merchant procurement ≈80% of operational BESS (Adani, ACME); draft rules bar grid charging; SECI 2022 tender had 40% developer merchant tranche; FDRE ≤5% market sourcing</t>
  </si>
  <si>
    <t xml:space="preserve">structure</t>
  </si>
  <si>
    <t xml:space="preserve">f2_f3_commercial_facts.md F3-Q1, F3-Q2; red_team_counterevidence.md Q2</t>
  </si>
  <si>
    <t xml:space="preserve">https://jmkresearch.com/indias-emerging-merchant-bess-market-faces-its-first-regulatory-test/</t>
  </si>
  <si>
    <t xml:space="preserve">S30</t>
  </si>
  <si>
    <t xml:space="preserve">QCA / forecasting comparables: Manikaran FY25 revenue ₹35.9 Cr, PAT ₹7.38 Cr, 22 staff (≈₹4k/MW/yr on 90 GW claimed); REConnect FY26 revenue ₹72.1 Cr, PAT ₹4.28 Cr (≤₹33k/MW/yr)</t>
  </si>
  <si>
    <t xml:space="preserve">₹ Cr; ₹/MW/yr</t>
  </si>
  <si>
    <t xml:space="preserve">Verified (filings) / Estimate (per-MW)</t>
  </si>
  <si>
    <t xml:space="preserve">energy_software_india_forecasting.md Q7, Q11</t>
  </si>
  <si>
    <t xml:space="preserve">https://www.manikarananalytics.in/</t>
  </si>
  <si>
    <t xml:space="preserve">S31</t>
  </si>
  <si>
    <t xml:space="preserve">DSM exposure per MW: solar ≈₹1.9 lakh/MW/yr at X=100 → ₹4.8 lakh at X=0; wind ₹1.6–3.2 lakh → ₹12.6–18.9 lakh (Prayas FY25 ratios; CUF / tariff assumptions are estimates)</t>
  </si>
  <si>
    <t xml:space="preserve">₹ lakh/MW/yr</t>
  </si>
  <si>
    <t xml:space="preserve">energy_software_india_forecasting.md Q8, Q11</t>
  </si>
  <si>
    <t xml:space="preserve">https://energy.prayaspune.org/images/pdf/CERC_suo-motu_proposal_on_X_for_RE-DSM_Prayas_comments_17-10-25.pdf</t>
  </si>
  <si>
    <t xml:space="preserve">Compute to run a 100-plant daily forecast: ≈$15–40/month bare (2–4 vCPU VM + object storage); ≈$115–140/month with Open-Meteo Professional</t>
  </si>
  <si>
    <t xml:space="preserve">US$/month</t>
  </si>
  <si>
    <t xml:space="preserve">solar_forecasting_feasibility.md §F</t>
  </si>
  <si>
    <t xml:space="preserve">https://www.ecmwf.int/en/forecasts/datasets/open-data</t>
  </si>
  <si>
    <t xml:space="preserve">Open-Meteo API: Standard $29/month (1M calls), Professional $99/month (5M calls, historical / ensemble / satellite radiation)</t>
  </si>
  <si>
    <t xml:space="preserve">https://openmeteo.substack.com/p/api-subscriptions-for-commercial</t>
  </si>
  <si>
    <t xml:space="preserve">S34</t>
  </si>
  <si>
    <t xml:space="preserve">CERC cap on SECI BESS trading margin ₹0.07/kWh (regulator-sanctioned 'handling fee' reference); IEX transaction fee ≈₹0.04/kWh (estimate)</t>
  </si>
  <si>
    <t xml:space="preserve">https://cercind.gov.in/2025/orders/138-AT-2024.pdf</t>
  </si>
  <si>
    <t xml:space="preserve">S35</t>
  </si>
  <si>
    <t xml:space="preserve">DSM Third Amendment (25 Aug 2026): WS sellers treated as general sellers only for bids ≥1 Jan 2027 / COD ≥1 Jan 2029; Karnataka HC stayed DSM 2024 Regs 6(2)(b), 8(4) for NSEFI petitioners; market coupling not notified</t>
  </si>
  <si>
    <t xml:space="preserve">regulatory timing</t>
  </si>
  <si>
    <t xml:space="preserve">red_team_counterevidence.md Q6</t>
  </si>
  <si>
    <t xml:space="preserve">https://cercind.gov.in/regulations/208-notification.pdf</t>
  </si>
  <si>
    <t xml:space="preserve">S36</t>
  </si>
  <si>
    <t xml:space="preserve">Failure ranking (most → least likely): F3 &gt; F1 &gt; F2; strongest reason not to build each finalist</t>
  </si>
  <si>
    <t xml:space="preserve">Verified (red-team synthesis)</t>
  </si>
  <si>
    <t xml:space="preserve">red_team_counterevidence.md Q7</t>
  </si>
  <si>
    <t xml:space="preserve">USD/INR ≈87 implied by JMK listing (₹2.36 lakh incl. GST ≈ USD 2,700)</t>
  </si>
  <si>
    <t xml:space="preserve">₹ per US$</t>
  </si>
  <si>
    <t xml:space="preserve">Estimate (arithmetic)</t>
  </si>
  <si>
    <t xml:space="preserve">Labour rates, engineer cost, G&amp;A, travel, event spend, DSO, planned new customers: no evidence in the research notes; user inputs to be replaced with actuals</t>
  </si>
  <si>
    <t xml:space="preserve">user input</t>
  </si>
  <si>
    <t xml:space="preserve">(none)</t>
  </si>
  <si>
    <t xml:space="preserve">OEM EMS bundling: Envision supplied Juniper's merchant BESS; Fluence–ReNew 50:50 JV (2022); no Indian IEX bid-optimisation startup found</t>
  </si>
  <si>
    <t xml:space="preserve">https://energy-storage.news/fluence-targets-growth-potential-in-india-forming-jv-with-independent-power-producer-renew-power</t>
  </si>
  <si>
    <t xml:space="preserve">MSEDCL 2 GW / 4 GWh BESPA: 15 years, ≥6,300 cycles, 95% annual availability, 85% monthly RTE, indigenous EMS software, VGF ₹18 lakh/MW</t>
  </si>
  <si>
    <t xml:space="preserve">contract terms</t>
  </si>
  <si>
    <t xml:space="preserve">f2_f3_commercial_facts.md F3-Q1, F3-Q2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</si>
</sst>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#,##0.0;\(#,##0.0\);\-"/>
    <numFmt numFmtId="167" formatCode="\₹#,##0;&quot;(₹&quot;#,##0\);\-"/>
    <numFmt numFmtId="168" formatCode="\$#,##0;&quot;($&quot;#,##0\);\-"/>
    <numFmt numFmtId="169" formatCode="\₹#,##0.00;&quot;(₹&quot;#,##0.00\);\-"/>
    <numFmt numFmtId="170" formatCode="0.0%;\(0.0%\);\-"/>
    <numFmt numFmtId="171" formatCode="0.0\x;\(0.0&quot;x)&quot;;\-"/>
    <numFmt numFmtId="172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F8CBAD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jmkresearch.com/open-access-ci-re-market-in-india/" TargetMode="External"/><Relationship Id="rId2" Type="http://schemas.openxmlformats.org/officeDocument/2006/relationships/hyperlink" Target="https://www.herofutureenergies.com/blog/solar-open-access-for-commercial-industrial-consumers-india/" TargetMode="External"/><Relationship Id="rId3" Type="http://schemas.openxmlformats.org/officeDocument/2006/relationships/hyperlink" Target="https://elion.co.in/energy-audit-in-india-complete-guide-to-bee-compliance-process-cost-savings-2026/" TargetMode="External"/><Relationship Id="rId4" Type="http://schemas.openxmlformats.org/officeDocument/2006/relationships/hyperlink" Target="https://www.businesstoday.in/magazine/features/story/the-power-people-84654-2017-08-04" TargetMode="External"/><Relationship Id="rId5" Type="http://schemas.openxmlformats.org/officeDocument/2006/relationships/hyperlink" Target="https://kptclsldc.in/WBUpload.aspx" TargetMode="External"/><Relationship Id="rId6" Type="http://schemas.openxmlformats.org/officeDocument/2006/relationships/hyperlink" Target="https://apparelresources.com/business-news/sourcing/struggling-tamil-nadu-textile-industry-urges-not-change-states-energy-policies/" TargetMode="External"/><Relationship Id="rId7" Type="http://schemas.openxmlformats.org/officeDocument/2006/relationships/hyperlink" Target="https://solarquarter.com/2025/10/14/bescom-seeks-kerc-approval-to-levy-&#8377;1-65-per-unit-additional-surcharge-on-open-access-consumers-in-karnataka/" TargetMode="External"/><Relationship Id="rId8" Type="http://schemas.openxmlformats.org/officeDocument/2006/relationships/hyperlink" Target="https://mercomindia.com/karnataka-halves-additional-surcharge-for-open-access-power" TargetMode="External"/><Relationship Id="rId9" Type="http://schemas.openxmlformats.org/officeDocument/2006/relationships/hyperlink" Target="https://www.energetica-india.net/keyword/open-access-charges" TargetMode="External"/><Relationship Id="rId10" Type="http://schemas.openxmlformats.org/officeDocument/2006/relationships/hyperlink" Target="https://www.herofutureenergies.com/blog/solar-open-access-for-commercial-industrial-consumers-india/" TargetMode="External"/><Relationship Id="rId11" Type="http://schemas.openxmlformats.org/officeDocument/2006/relationships/hyperlink" Target="https://www.openaccessexchange.com/blog/open-access-renewable-energy-india-2026-state-data/" TargetMode="External"/><Relationship Id="rId12" Type="http://schemas.openxmlformats.org/officeDocument/2006/relationships/hyperlink" Target="https://tatapower.com/what-we-do-nav/energy-services/power-trading-2" TargetMode="External"/><Relationship Id="rId13" Type="http://schemas.openxmlformats.org/officeDocument/2006/relationships/hyperlink" Target="https://ctuil.in/uploads/assets/178963420036Final%20List%20of%20eligible%20entities%20as%20per%2011SM2026_rev%2001.pdf" TargetMode="External"/><Relationship Id="rId14" Type="http://schemas.openxmlformats.org/officeDocument/2006/relationships/hyperlink" Target="https://ctuil.in/uploads/assets/178645696705Compensation%20charges%20as%20per%20CERC%20order%20dtd%2003-08-2026%20to%20be%20uploaded%20on%20website.pdf" TargetMode="External"/><Relationship Id="rId15" Type="http://schemas.openxmlformats.org/officeDocument/2006/relationships/hyperlink" Target="https://www.mercomindia.com/rajasthan-seeks-consultants-help-frame-tariff-regulations" TargetMode="External"/><Relationship Id="rId16" Type="http://schemas.openxmlformats.org/officeDocument/2006/relationships/hyperlink" Target="https://ctuil.in/copyright-policy" TargetMode="External"/><Relationship Id="rId17" Type="http://schemas.openxmlformats.org/officeDocument/2006/relationships/hyperlink" Target="https://ctuil.in/connectivity-effective-list" TargetMode="External"/><Relationship Id="rId18" Type="http://schemas.openxmlformats.org/officeDocument/2006/relationships/hyperlink" Target="https://www.cercind.gov.in/2026/draft_reg/EM_GNA-fourth-Amnd.pdf" TargetMode="External"/><Relationship Id="rId19" Type="http://schemas.openxmlformats.org/officeDocument/2006/relationships/hyperlink" Target="https://www.energetica-india.net/news/oriana-bsl-engineering-armee-infotech-gk-energy-among-winners-in-msedcl-4-gwh-bess-auction" TargetMode="External"/><Relationship Id="rId20" Type="http://schemas.openxmlformats.org/officeDocument/2006/relationships/hyperlink" Target="https://www.iexindia.com/terms-of-uses" TargetMode="External"/><Relationship Id="rId21" Type="http://schemas.openxmlformats.org/officeDocument/2006/relationships/hyperlink" Target="https://ember-energy.org/latest-insights/the-age-of-storage-batteries-primed-for-indias-power-markets/chapter-3-the-economics-of-merchant-bess/" TargetMode="External"/><Relationship Id="rId22" Type="http://schemas.openxmlformats.org/officeDocument/2006/relationships/hyperlink" Target="https://blog.tenderkosh.com/bess-tenders-india-2026/" TargetMode="External"/><Relationship Id="rId23" Type="http://schemas.openxmlformats.org/officeDocument/2006/relationships/hyperlink" Target="https://solarquarter.com/2026/02/02/&#8377;1-81-lakh-to-&#8377;3-15-lakh-kerala-and-tamil-nadu-discover-new-benchmarks-in-standalone-bess-tariffs/" TargetMode="External"/><Relationship Id="rId24" Type="http://schemas.openxmlformats.org/officeDocument/2006/relationships/hyperlink" Target="https://jmkresearch.com/indias-emerging-merchant-bess-market-faces-its-first-regulatory-test/" TargetMode="External"/><Relationship Id="rId25" Type="http://schemas.openxmlformats.org/officeDocument/2006/relationships/hyperlink" Target="https://www.manikarananalytics.in/" TargetMode="External"/><Relationship Id="rId26" Type="http://schemas.openxmlformats.org/officeDocument/2006/relationships/hyperlink" Target="https://energy.prayaspune.org/images/pdf/CERC_suo-motu_proposal_on_X_for_RE-DSM_Prayas_comments_17-10-25.pdf" TargetMode="External"/><Relationship Id="rId27" Type="http://schemas.openxmlformats.org/officeDocument/2006/relationships/hyperlink" Target="https://www.ecmwf.int/en/forecasts/datasets/open-data" TargetMode="External"/><Relationship Id="rId28" Type="http://schemas.openxmlformats.org/officeDocument/2006/relationships/hyperlink" Target="https://openmeteo.substack.com/p/api-subscriptions-for-commercial" TargetMode="External"/><Relationship Id="rId29" Type="http://schemas.openxmlformats.org/officeDocument/2006/relationships/hyperlink" Target="https://cercind.gov.in/2025/orders/138-AT-2024.pdf" TargetMode="External"/><Relationship Id="rId30" Type="http://schemas.openxmlformats.org/officeDocument/2006/relationships/hyperlink" Target="https://cercind.gov.in/regulations/208-notification.pdf" TargetMode="External"/><Relationship Id="rId31" Type="http://schemas.openxmlformats.org/officeDocument/2006/relationships/hyperlink" Target="https://jmkresearch.com/open-access-ci-re-market-in-india/" TargetMode="External"/><Relationship Id="rId32" Type="http://schemas.openxmlformats.org/officeDocument/2006/relationships/hyperlink" Target="https://energy-storage.news/fluence-targets-growth-potential-in-india-forming-jv-with-independent-power-producer-renew-power" TargetMode="External"/><Relationship Id="rId33" Type="http://schemas.openxmlformats.org/officeDocument/2006/relationships/hyperlink" Target="https://www.energetica-india.net/news/oriana-bsl-engineering-armee-infotech-gk-energy-among-winners-in-msedcl-4-gwh-bess-auc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57.4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 t="s">
        <v>3</v>
      </c>
    </row>
    <row r="7" customFormat="false" ht="23.85" hidden="false" customHeight="false" outlineLevel="0" collapsed="false">
      <c r="B7" s="3" t="s">
        <v>4</v>
      </c>
    </row>
    <row r="8" customFormat="false" ht="23.8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2" t="s">
        <v>7</v>
      </c>
    </row>
    <row r="12" customFormat="false" ht="23.85" hidden="false" customHeight="false" outlineLevel="0" collapsed="false">
      <c r="B12" s="3" t="s">
        <v>8</v>
      </c>
    </row>
    <row r="13" customFormat="false" ht="23.8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23.8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2" t="s">
        <v>13</v>
      </c>
    </row>
    <row r="19" customFormat="false" ht="23.8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2" t="s">
        <v>15</v>
      </c>
    </row>
    <row r="22" customFormat="false" ht="46.2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2" t="s">
        <v>17</v>
      </c>
    </row>
    <row r="25" customFormat="false" ht="57.45" hidden="false" customHeight="false" outlineLevel="0" collapsed="false">
      <c r="B25" s="3" t="s">
        <v>18</v>
      </c>
    </row>
    <row r="26" customFormat="false" ht="23.85" hidden="false" customHeight="false" outlineLevel="0" collapsed="false">
      <c r="B26" s="3" t="s">
        <v>19</v>
      </c>
    </row>
    <row r="27" customFormat="false" ht="35.05" hidden="false" customHeight="false" outlineLevel="0" collapsed="false">
      <c r="B27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6" min="3" style="0" width="15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90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4" t="s">
        <v>22</v>
      </c>
      <c r="C3" s="5" t="n">
        <v>2</v>
      </c>
      <c r="D3" s="6" t="str">
        <f aca="false">CHOOSE($C$3,"Conservative","Base","Upside")</f>
        <v>Base</v>
      </c>
    </row>
    <row r="4" customFormat="false" ht="22.35" hidden="false" customHeight="false" outlineLevel="0" collapsed="false">
      <c r="A4" s="4" t="s">
        <v>23</v>
      </c>
      <c r="C4" s="7" t="n">
        <v>87</v>
      </c>
      <c r="G4" s="6" t="s">
        <v>24</v>
      </c>
      <c r="H4" s="6" t="s">
        <v>25</v>
      </c>
      <c r="J4" s="8" t="s">
        <v>26</v>
      </c>
    </row>
    <row r="6" customFormat="false" ht="23.85" hidden="false" customHeight="false" outlineLevel="0" collapsed="false">
      <c r="A6" s="9" t="s">
        <v>27</v>
      </c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35</v>
      </c>
      <c r="J6" s="9" t="s">
        <v>36</v>
      </c>
    </row>
    <row r="7" customFormat="false" ht="15" hidden="false" customHeight="false" outlineLevel="0" collapsed="false">
      <c r="A7" s="10" t="s">
        <v>37</v>
      </c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6" t="s">
        <v>38</v>
      </c>
      <c r="B8" s="12" t="s">
        <v>39</v>
      </c>
      <c r="C8" s="13" t="n">
        <v>160</v>
      </c>
      <c r="D8" s="13" t="n">
        <v>160</v>
      </c>
      <c r="E8" s="13" t="n">
        <v>160</v>
      </c>
      <c r="F8" s="14" t="n">
        <f aca="false">INDEX(C8:E8,1,$C$3)</f>
        <v>160</v>
      </c>
      <c r="G8" s="6" t="s">
        <v>24</v>
      </c>
      <c r="H8" s="6" t="s">
        <v>40</v>
      </c>
      <c r="I8" s="6" t="s">
        <v>41</v>
      </c>
      <c r="J8" s="8" t="s">
        <v>42</v>
      </c>
    </row>
    <row r="9" customFormat="false" ht="15" hidden="false" customHeight="false" outlineLevel="0" collapsed="false">
      <c r="A9" s="6" t="s">
        <v>43</v>
      </c>
      <c r="B9" s="12" t="s">
        <v>44</v>
      </c>
      <c r="C9" s="15" t="n">
        <v>500</v>
      </c>
      <c r="D9" s="15" t="n">
        <v>400</v>
      </c>
      <c r="E9" s="15" t="n">
        <v>350</v>
      </c>
      <c r="F9" s="16" t="n">
        <f aca="false">INDEX(C9:E9,1,$C$3)</f>
        <v>400</v>
      </c>
      <c r="G9" s="6" t="s">
        <v>45</v>
      </c>
      <c r="H9" s="6" t="s">
        <v>40</v>
      </c>
      <c r="I9" s="17" t="s">
        <v>46</v>
      </c>
      <c r="J9" s="8" t="s">
        <v>47</v>
      </c>
    </row>
    <row r="10" customFormat="false" ht="15" hidden="false" customHeight="false" outlineLevel="0" collapsed="false">
      <c r="A10" s="6" t="s">
        <v>48</v>
      </c>
      <c r="B10" s="12" t="s">
        <v>49</v>
      </c>
      <c r="C10" s="15" t="n">
        <v>200000</v>
      </c>
      <c r="D10" s="15" t="n">
        <v>150000</v>
      </c>
      <c r="E10" s="15" t="n">
        <v>125000</v>
      </c>
      <c r="F10" s="16" t="n">
        <f aca="false">INDEX(C10:E10,1,$C$3)</f>
        <v>150000</v>
      </c>
      <c r="G10" s="6" t="s">
        <v>45</v>
      </c>
      <c r="H10" s="6" t="s">
        <v>40</v>
      </c>
      <c r="I10" s="17" t="s">
        <v>46</v>
      </c>
      <c r="J10" s="8" t="s">
        <v>50</v>
      </c>
    </row>
    <row r="11" customFormat="false" ht="15" hidden="false" customHeight="false" outlineLevel="0" collapsed="false">
      <c r="A11" s="6" t="s">
        <v>51</v>
      </c>
      <c r="B11" s="12" t="s">
        <v>52</v>
      </c>
      <c r="C11" s="15" t="n">
        <v>400000</v>
      </c>
      <c r="D11" s="15" t="n">
        <v>300000</v>
      </c>
      <c r="E11" s="15" t="n">
        <v>250000</v>
      </c>
      <c r="F11" s="16" t="n">
        <f aca="false">INDEX(C11:E11,1,$C$3)</f>
        <v>300000</v>
      </c>
      <c r="G11" s="6" t="s">
        <v>45</v>
      </c>
      <c r="H11" s="6" t="s">
        <v>40</v>
      </c>
      <c r="I11" s="6" t="s">
        <v>41</v>
      </c>
      <c r="J11" s="8" t="s">
        <v>53</v>
      </c>
    </row>
    <row r="12" customFormat="false" ht="15" hidden="false" customHeight="false" outlineLevel="0" collapsed="false">
      <c r="A12" s="6" t="s">
        <v>54</v>
      </c>
      <c r="B12" s="12" t="s">
        <v>55</v>
      </c>
      <c r="C12" s="18" t="n">
        <v>40</v>
      </c>
      <c r="D12" s="18" t="n">
        <v>25</v>
      </c>
      <c r="E12" s="18" t="n">
        <v>15</v>
      </c>
      <c r="F12" s="19" t="n">
        <f aca="false">INDEX(C12:E12,1,$C$3)</f>
        <v>25</v>
      </c>
      <c r="G12" s="6" t="s">
        <v>24</v>
      </c>
      <c r="H12" s="6" t="s">
        <v>56</v>
      </c>
      <c r="I12" s="6" t="s">
        <v>41</v>
      </c>
      <c r="J12" s="8" t="s">
        <v>57</v>
      </c>
    </row>
    <row r="13" customFormat="false" ht="22.35" hidden="false" customHeight="false" outlineLevel="0" collapsed="false">
      <c r="A13" s="6" t="s">
        <v>58</v>
      </c>
      <c r="B13" s="12" t="s">
        <v>55</v>
      </c>
      <c r="C13" s="18" t="n">
        <v>99</v>
      </c>
      <c r="D13" s="18" t="n">
        <v>99</v>
      </c>
      <c r="E13" s="18" t="n">
        <v>99</v>
      </c>
      <c r="F13" s="19" t="n">
        <f aca="false">INDEX(C13:E13,1,$C$3)</f>
        <v>99</v>
      </c>
      <c r="G13" s="6" t="s">
        <v>59</v>
      </c>
      <c r="H13" s="6" t="s">
        <v>60</v>
      </c>
      <c r="I13" s="6" t="s">
        <v>41</v>
      </c>
      <c r="J13" s="8" t="s">
        <v>61</v>
      </c>
    </row>
    <row r="14" customFormat="false" ht="15" hidden="false" customHeight="false" outlineLevel="0" collapsed="false">
      <c r="A14" s="10" t="s">
        <v>62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32.8" hidden="false" customHeight="false" outlineLevel="0" collapsed="false">
      <c r="A15" s="6" t="s">
        <v>63</v>
      </c>
      <c r="B15" s="12" t="s">
        <v>64</v>
      </c>
      <c r="C15" s="5" t="n">
        <v>900</v>
      </c>
      <c r="D15" s="5" t="n">
        <v>1500</v>
      </c>
      <c r="E15" s="5" t="n">
        <v>3000</v>
      </c>
      <c r="F15" s="14" t="n">
        <f aca="false">INDEX(C15:E15,1,$C$3)</f>
        <v>1500</v>
      </c>
      <c r="G15" s="6" t="s">
        <v>24</v>
      </c>
      <c r="H15" s="6" t="s">
        <v>65</v>
      </c>
      <c r="I15" s="17" t="s">
        <v>46</v>
      </c>
      <c r="J15" s="8" t="s">
        <v>66</v>
      </c>
    </row>
    <row r="16" customFormat="false" ht="22.35" hidden="false" customHeight="false" outlineLevel="0" collapsed="false">
      <c r="A16" s="6" t="s">
        <v>67</v>
      </c>
      <c r="B16" s="12" t="s">
        <v>68</v>
      </c>
      <c r="C16" s="13" t="n">
        <v>10</v>
      </c>
      <c r="D16" s="13" t="n">
        <v>20</v>
      </c>
      <c r="E16" s="13" t="n">
        <v>35</v>
      </c>
      <c r="F16" s="14" t="n">
        <f aca="false">INDEX(C16:E16,1,$C$3)</f>
        <v>20</v>
      </c>
      <c r="G16" s="6" t="s">
        <v>24</v>
      </c>
      <c r="H16" s="6" t="s">
        <v>69</v>
      </c>
      <c r="I16" s="17" t="s">
        <v>46</v>
      </c>
      <c r="J16" s="8" t="s">
        <v>70</v>
      </c>
    </row>
    <row r="17" customFormat="false" ht="22.35" hidden="false" customHeight="false" outlineLevel="0" collapsed="false">
      <c r="A17" s="6" t="s">
        <v>71</v>
      </c>
      <c r="B17" s="12" t="s">
        <v>72</v>
      </c>
      <c r="C17" s="20" t="n">
        <v>5</v>
      </c>
      <c r="D17" s="20" t="n">
        <v>5</v>
      </c>
      <c r="E17" s="20" t="n">
        <v>5</v>
      </c>
      <c r="F17" s="21" t="n">
        <f aca="false">INDEX(C17:E17,1,$C$3)</f>
        <v>5</v>
      </c>
      <c r="G17" s="6" t="s">
        <v>24</v>
      </c>
      <c r="H17" s="6" t="s">
        <v>73</v>
      </c>
      <c r="I17" s="6" t="s">
        <v>41</v>
      </c>
      <c r="J17" s="8" t="s">
        <v>74</v>
      </c>
    </row>
    <row r="18" customFormat="false" ht="15" hidden="false" customHeight="false" outlineLevel="0" collapsed="false">
      <c r="A18" s="6" t="s">
        <v>75</v>
      </c>
      <c r="B18" s="12" t="s">
        <v>76</v>
      </c>
      <c r="C18" s="16" t="n">
        <f aca="false">C16*1000000*C17</f>
        <v>50000000</v>
      </c>
      <c r="D18" s="16" t="n">
        <f aca="false">D16*1000000*D17</f>
        <v>100000000</v>
      </c>
      <c r="E18" s="16" t="n">
        <f aca="false">E16*1000000*E17</f>
        <v>175000000</v>
      </c>
      <c r="F18" s="16" t="n">
        <f aca="false">INDEX(C18:E18,1,$C$3)</f>
        <v>100000000</v>
      </c>
      <c r="G18" s="6" t="s">
        <v>24</v>
      </c>
      <c r="H18" s="6" t="s">
        <v>69</v>
      </c>
      <c r="I18" s="6" t="s">
        <v>41</v>
      </c>
      <c r="J18" s="8" t="s">
        <v>77</v>
      </c>
    </row>
    <row r="19" customFormat="false" ht="32.8" hidden="false" customHeight="false" outlineLevel="0" collapsed="false">
      <c r="A19" s="6" t="s">
        <v>78</v>
      </c>
      <c r="B19" s="12" t="s">
        <v>79</v>
      </c>
      <c r="C19" s="22" t="n">
        <v>0.005</v>
      </c>
      <c r="D19" s="22" t="n">
        <v>0.015</v>
      </c>
      <c r="E19" s="22" t="n">
        <v>0.03</v>
      </c>
      <c r="F19" s="23" t="n">
        <f aca="false">INDEX(C19:E19,1,$C$3)</f>
        <v>0.015</v>
      </c>
      <c r="G19" s="6" t="s">
        <v>45</v>
      </c>
      <c r="H19" s="6" t="s">
        <v>80</v>
      </c>
      <c r="I19" s="17" t="s">
        <v>46</v>
      </c>
      <c r="J19" s="8" t="s">
        <v>81</v>
      </c>
    </row>
    <row r="20" customFormat="false" ht="22.35" hidden="false" customHeight="false" outlineLevel="0" collapsed="false">
      <c r="A20" s="6" t="s">
        <v>82</v>
      </c>
      <c r="B20" s="12" t="s">
        <v>83</v>
      </c>
      <c r="C20" s="24" t="n">
        <v>0.2</v>
      </c>
      <c r="D20" s="24" t="n">
        <v>0.2</v>
      </c>
      <c r="E20" s="24" t="n">
        <v>0.25</v>
      </c>
      <c r="F20" s="23" t="n">
        <f aca="false">INDEX(C20:E20,1,$C$3)</f>
        <v>0.2</v>
      </c>
      <c r="G20" s="6" t="s">
        <v>45</v>
      </c>
      <c r="H20" s="6" t="s">
        <v>84</v>
      </c>
      <c r="I20" s="17" t="s">
        <v>46</v>
      </c>
      <c r="J20" s="8" t="s">
        <v>85</v>
      </c>
    </row>
    <row r="21" customFormat="false" ht="15" hidden="false" customHeight="false" outlineLevel="0" collapsed="false">
      <c r="A21" s="6" t="s">
        <v>86</v>
      </c>
      <c r="B21" s="12" t="s">
        <v>87</v>
      </c>
      <c r="C21" s="13" t="n">
        <v>12</v>
      </c>
      <c r="D21" s="13" t="n">
        <v>18</v>
      </c>
      <c r="E21" s="13" t="n">
        <v>24</v>
      </c>
      <c r="F21" s="14" t="n">
        <f aca="false">INDEX(C21:E21,1,$C$3)</f>
        <v>18</v>
      </c>
      <c r="G21" s="6" t="s">
        <v>45</v>
      </c>
      <c r="H21" s="6" t="s">
        <v>80</v>
      </c>
      <c r="I21" s="6" t="s">
        <v>41</v>
      </c>
      <c r="J21" s="8" t="s">
        <v>88</v>
      </c>
    </row>
    <row r="22" customFormat="false" ht="22.35" hidden="false" customHeight="false" outlineLevel="0" collapsed="false">
      <c r="A22" s="6" t="s">
        <v>89</v>
      </c>
      <c r="B22" s="12" t="s">
        <v>90</v>
      </c>
      <c r="C22" s="24" t="n">
        <v>0</v>
      </c>
      <c r="D22" s="24" t="n">
        <v>0.25</v>
      </c>
      <c r="E22" s="24" t="n">
        <v>0.5</v>
      </c>
      <c r="F22" s="23" t="n">
        <f aca="false">INDEX(C22:E22,1,$C$3)</f>
        <v>0.25</v>
      </c>
      <c r="G22" s="6" t="s">
        <v>45</v>
      </c>
      <c r="H22" s="6" t="s">
        <v>91</v>
      </c>
      <c r="I22" s="17" t="s">
        <v>46</v>
      </c>
      <c r="J22" s="8" t="s">
        <v>92</v>
      </c>
    </row>
    <row r="23" customFormat="false" ht="22.35" hidden="false" customHeight="false" outlineLevel="0" collapsed="false">
      <c r="A23" s="6" t="s">
        <v>93</v>
      </c>
      <c r="B23" s="12" t="s">
        <v>76</v>
      </c>
      <c r="C23" s="25" t="n">
        <v>150000</v>
      </c>
      <c r="D23" s="25" t="n">
        <v>300000</v>
      </c>
      <c r="E23" s="25" t="n">
        <v>500000</v>
      </c>
      <c r="F23" s="16" t="n">
        <f aca="false">INDEX(C23:E23,1,$C$3)</f>
        <v>300000</v>
      </c>
      <c r="G23" s="6" t="s">
        <v>45</v>
      </c>
      <c r="H23" s="6" t="s">
        <v>84</v>
      </c>
      <c r="I23" s="17" t="s">
        <v>46</v>
      </c>
      <c r="J23" s="8" t="s">
        <v>94</v>
      </c>
    </row>
    <row r="24" customFormat="false" ht="22.35" hidden="false" customHeight="false" outlineLevel="0" collapsed="false">
      <c r="A24" s="6" t="s">
        <v>95</v>
      </c>
      <c r="B24" s="12" t="s">
        <v>96</v>
      </c>
      <c r="C24" s="26" t="n">
        <v>1</v>
      </c>
      <c r="D24" s="26" t="n">
        <v>1.5</v>
      </c>
      <c r="E24" s="26" t="n">
        <v>2</v>
      </c>
      <c r="F24" s="27" t="n">
        <f aca="false">INDEX(C24:E24,1,$C$3)</f>
        <v>1.5</v>
      </c>
      <c r="G24" s="6" t="s">
        <v>24</v>
      </c>
      <c r="H24" s="6" t="s">
        <v>65</v>
      </c>
      <c r="I24" s="6" t="s">
        <v>41</v>
      </c>
      <c r="J24" s="8" t="s">
        <v>97</v>
      </c>
    </row>
    <row r="25" customFormat="false" ht="22.35" hidden="false" customHeight="false" outlineLevel="0" collapsed="false">
      <c r="A25" s="6" t="s">
        <v>98</v>
      </c>
      <c r="B25" s="12" t="s">
        <v>99</v>
      </c>
      <c r="C25" s="22" t="n">
        <v>0.05</v>
      </c>
      <c r="D25" s="22" t="n">
        <v>0.1</v>
      </c>
      <c r="E25" s="22" t="n">
        <v>0.2</v>
      </c>
      <c r="F25" s="23" t="n">
        <f aca="false">INDEX(C25:E25,1,$C$3)</f>
        <v>0.1</v>
      </c>
      <c r="G25" s="6" t="s">
        <v>45</v>
      </c>
      <c r="H25" s="6" t="s">
        <v>80</v>
      </c>
      <c r="I25" s="17" t="s">
        <v>46</v>
      </c>
      <c r="J25" s="8" t="s">
        <v>100</v>
      </c>
    </row>
    <row r="26" customFormat="false" ht="15" hidden="false" customHeight="false" outlineLevel="0" collapsed="false">
      <c r="A26" s="6" t="s">
        <v>101</v>
      </c>
      <c r="B26" s="12" t="s">
        <v>87</v>
      </c>
      <c r="C26" s="13" t="n">
        <v>6</v>
      </c>
      <c r="D26" s="13" t="n">
        <v>4</v>
      </c>
      <c r="E26" s="13" t="n">
        <v>3</v>
      </c>
      <c r="F26" s="14" t="n">
        <f aca="false">INDEX(C26:E26,1,$C$3)</f>
        <v>4</v>
      </c>
      <c r="G26" s="6" t="s">
        <v>45</v>
      </c>
      <c r="H26" s="6" t="s">
        <v>102</v>
      </c>
      <c r="I26" s="17" t="s">
        <v>46</v>
      </c>
      <c r="J26" s="8" t="s">
        <v>103</v>
      </c>
    </row>
    <row r="27" customFormat="false" ht="15" hidden="false" customHeight="false" outlineLevel="0" collapsed="false">
      <c r="A27" s="6" t="s">
        <v>104</v>
      </c>
      <c r="B27" s="12" t="s">
        <v>105</v>
      </c>
      <c r="C27" s="24" t="n">
        <v>0.25</v>
      </c>
      <c r="D27" s="24" t="n">
        <v>0.15</v>
      </c>
      <c r="E27" s="24" t="n">
        <v>0.1</v>
      </c>
      <c r="F27" s="23" t="n">
        <f aca="false">INDEX(C27:E27,1,$C$3)</f>
        <v>0.15</v>
      </c>
      <c r="G27" s="6" t="s">
        <v>45</v>
      </c>
      <c r="H27" s="6" t="s">
        <v>102</v>
      </c>
      <c r="I27" s="17" t="s">
        <v>46</v>
      </c>
      <c r="J27" s="8" t="s">
        <v>106</v>
      </c>
    </row>
    <row r="28" customFormat="false" ht="22.35" hidden="false" customHeight="false" outlineLevel="0" collapsed="false">
      <c r="A28" s="6" t="s">
        <v>107</v>
      </c>
      <c r="B28" s="12" t="s">
        <v>39</v>
      </c>
      <c r="C28" s="13" t="n">
        <v>40</v>
      </c>
      <c r="D28" s="13" t="n">
        <v>24</v>
      </c>
      <c r="E28" s="13" t="n">
        <v>16</v>
      </c>
      <c r="F28" s="14" t="n">
        <f aca="false">INDEX(C28:E28,1,$C$3)</f>
        <v>24</v>
      </c>
      <c r="G28" s="6" t="s">
        <v>45</v>
      </c>
      <c r="H28" s="6" t="s">
        <v>65</v>
      </c>
      <c r="I28" s="17" t="s">
        <v>46</v>
      </c>
      <c r="J28" s="8" t="s">
        <v>108</v>
      </c>
    </row>
    <row r="29" customFormat="false" ht="22.35" hidden="false" customHeight="false" outlineLevel="0" collapsed="false">
      <c r="A29" s="6" t="s">
        <v>109</v>
      </c>
      <c r="B29" s="12" t="s">
        <v>110</v>
      </c>
      <c r="C29" s="26" t="n">
        <v>4</v>
      </c>
      <c r="D29" s="26" t="n">
        <v>2.5</v>
      </c>
      <c r="E29" s="26" t="n">
        <v>1.5</v>
      </c>
      <c r="F29" s="27" t="n">
        <f aca="false">INDEX(C29:E29,1,$C$3)</f>
        <v>2.5</v>
      </c>
      <c r="G29" s="6" t="s">
        <v>45</v>
      </c>
      <c r="H29" s="6" t="s">
        <v>65</v>
      </c>
      <c r="I29" s="17" t="s">
        <v>46</v>
      </c>
      <c r="J29" s="8" t="s">
        <v>111</v>
      </c>
    </row>
    <row r="30" customFormat="false" ht="15" hidden="false" customHeight="false" outlineLevel="0" collapsed="false">
      <c r="A30" s="6" t="s">
        <v>112</v>
      </c>
      <c r="B30" s="12" t="s">
        <v>52</v>
      </c>
      <c r="C30" s="15" t="n">
        <v>236000</v>
      </c>
      <c r="D30" s="15" t="n">
        <v>236000</v>
      </c>
      <c r="E30" s="15" t="n">
        <v>236000</v>
      </c>
      <c r="F30" s="16" t="n">
        <f aca="false">INDEX(C30:E30,1,$C$3)</f>
        <v>236000</v>
      </c>
      <c r="G30" s="6" t="s">
        <v>59</v>
      </c>
      <c r="H30" s="6" t="s">
        <v>113</v>
      </c>
      <c r="I30" s="6" t="s">
        <v>41</v>
      </c>
      <c r="J30" s="8" t="s">
        <v>114</v>
      </c>
    </row>
    <row r="31" customFormat="false" ht="15" hidden="false" customHeight="false" outlineLevel="0" collapsed="false">
      <c r="A31" s="6" t="s">
        <v>115</v>
      </c>
      <c r="B31" s="12" t="s">
        <v>52</v>
      </c>
      <c r="C31" s="15" t="n">
        <v>0</v>
      </c>
      <c r="D31" s="15" t="n">
        <v>0</v>
      </c>
      <c r="E31" s="15" t="n">
        <v>0</v>
      </c>
      <c r="F31" s="16" t="n">
        <f aca="false">INDEX(C31:E31,1,$C$3)</f>
        <v>0</v>
      </c>
      <c r="G31" s="6" t="s">
        <v>59</v>
      </c>
      <c r="H31" s="6" t="s">
        <v>65</v>
      </c>
      <c r="I31" s="6" t="s">
        <v>41</v>
      </c>
      <c r="J31" s="8" t="s">
        <v>116</v>
      </c>
    </row>
    <row r="32" customFormat="false" ht="15" hidden="false" customHeight="false" outlineLevel="0" collapsed="false">
      <c r="A32" s="6" t="s">
        <v>117</v>
      </c>
      <c r="B32" s="12" t="s">
        <v>49</v>
      </c>
      <c r="C32" s="15" t="n">
        <v>200</v>
      </c>
      <c r="D32" s="15" t="n">
        <v>100</v>
      </c>
      <c r="E32" s="15" t="n">
        <v>50</v>
      </c>
      <c r="F32" s="16" t="n">
        <f aca="false">INDEX(C32:E32,1,$C$3)</f>
        <v>100</v>
      </c>
      <c r="G32" s="6" t="s">
        <v>45</v>
      </c>
      <c r="H32" s="6" t="s">
        <v>56</v>
      </c>
      <c r="I32" s="6" t="s">
        <v>41</v>
      </c>
      <c r="J32" s="8" t="s">
        <v>118</v>
      </c>
    </row>
    <row r="33" customFormat="false" ht="15" hidden="false" customHeight="false" outlineLevel="0" collapsed="false">
      <c r="A33" s="6" t="s">
        <v>119</v>
      </c>
      <c r="B33" s="12" t="s">
        <v>120</v>
      </c>
      <c r="C33" s="13" t="n">
        <v>0</v>
      </c>
      <c r="D33" s="13" t="n">
        <v>0</v>
      </c>
      <c r="E33" s="13" t="n">
        <v>0</v>
      </c>
      <c r="F33" s="14" t="n">
        <f aca="false">INDEX(C33:E33,1,$C$3)</f>
        <v>0</v>
      </c>
      <c r="G33" s="6" t="s">
        <v>59</v>
      </c>
      <c r="H33" s="6" t="s">
        <v>60</v>
      </c>
      <c r="I33" s="6" t="s">
        <v>41</v>
      </c>
      <c r="J33" s="8" t="s">
        <v>121</v>
      </c>
    </row>
    <row r="34" customFormat="false" ht="15" hidden="false" customHeight="false" outlineLevel="0" collapsed="false">
      <c r="A34" s="6" t="s">
        <v>122</v>
      </c>
      <c r="B34" s="12" t="s">
        <v>123</v>
      </c>
      <c r="C34" s="13" t="n">
        <v>0</v>
      </c>
      <c r="D34" s="13" t="n">
        <v>0</v>
      </c>
      <c r="E34" s="13" t="n">
        <v>0</v>
      </c>
      <c r="F34" s="14" t="n">
        <f aca="false">INDEX(C34:E34,1,$C$3)</f>
        <v>0</v>
      </c>
      <c r="G34" s="6" t="s">
        <v>45</v>
      </c>
      <c r="H34" s="6" t="s">
        <v>40</v>
      </c>
      <c r="I34" s="6" t="s">
        <v>41</v>
      </c>
      <c r="J34" s="8" t="s">
        <v>124</v>
      </c>
    </row>
    <row r="35" customFormat="false" ht="15" hidden="false" customHeight="false" outlineLevel="0" collapsed="false">
      <c r="A35" s="6" t="s">
        <v>125</v>
      </c>
      <c r="B35" s="12" t="s">
        <v>123</v>
      </c>
      <c r="C35" s="13" t="n">
        <v>2</v>
      </c>
      <c r="D35" s="13" t="n">
        <v>1</v>
      </c>
      <c r="E35" s="13" t="n">
        <v>1</v>
      </c>
      <c r="F35" s="14" t="n">
        <f aca="false">INDEX(C35:E35,1,$C$3)</f>
        <v>1</v>
      </c>
      <c r="G35" s="6" t="s">
        <v>45</v>
      </c>
      <c r="H35" s="6" t="s">
        <v>40</v>
      </c>
      <c r="I35" s="6" t="s">
        <v>41</v>
      </c>
      <c r="J35" s="8" t="s">
        <v>126</v>
      </c>
    </row>
    <row r="36" customFormat="false" ht="15" hidden="false" customHeight="false" outlineLevel="0" collapsed="false">
      <c r="A36" s="6" t="s">
        <v>127</v>
      </c>
      <c r="B36" s="12" t="s">
        <v>123</v>
      </c>
      <c r="C36" s="13" t="n">
        <v>4</v>
      </c>
      <c r="D36" s="13" t="n">
        <v>2</v>
      </c>
      <c r="E36" s="13" t="n">
        <v>2</v>
      </c>
      <c r="F36" s="14" t="n">
        <f aca="false">INDEX(C36:E36,1,$C$3)</f>
        <v>2</v>
      </c>
      <c r="G36" s="6" t="s">
        <v>45</v>
      </c>
      <c r="H36" s="6" t="s">
        <v>40</v>
      </c>
      <c r="I36" s="6" t="s">
        <v>41</v>
      </c>
      <c r="J36" s="8" t="s">
        <v>128</v>
      </c>
    </row>
    <row r="37" customFormat="false" ht="15" hidden="false" customHeight="false" outlineLevel="0" collapsed="false">
      <c r="A37" s="6" t="s">
        <v>129</v>
      </c>
      <c r="B37" s="12" t="s">
        <v>39</v>
      </c>
      <c r="C37" s="13" t="n">
        <v>8</v>
      </c>
      <c r="D37" s="13" t="n">
        <v>6</v>
      </c>
      <c r="E37" s="13" t="n">
        <v>4</v>
      </c>
      <c r="F37" s="14" t="n">
        <f aca="false">INDEX(C37:E37,1,$C$3)</f>
        <v>6</v>
      </c>
      <c r="G37" s="6" t="s">
        <v>45</v>
      </c>
      <c r="H37" s="6" t="s">
        <v>65</v>
      </c>
      <c r="I37" s="6" t="s">
        <v>41</v>
      </c>
      <c r="J37" s="8" t="s">
        <v>130</v>
      </c>
    </row>
    <row r="38" customFormat="false" ht="15" hidden="false" customHeight="false" outlineLevel="0" collapsed="false">
      <c r="A38" s="6" t="s">
        <v>131</v>
      </c>
      <c r="B38" s="12" t="s">
        <v>132</v>
      </c>
      <c r="C38" s="15" t="n">
        <v>3000</v>
      </c>
      <c r="D38" s="15" t="n">
        <v>2000</v>
      </c>
      <c r="E38" s="15" t="n">
        <v>1500</v>
      </c>
      <c r="F38" s="16" t="n">
        <f aca="false">INDEX(C38:E38,1,$C$3)</f>
        <v>2000</v>
      </c>
      <c r="G38" s="6" t="s">
        <v>24</v>
      </c>
      <c r="H38" s="6" t="s">
        <v>40</v>
      </c>
      <c r="I38" s="6" t="s">
        <v>41</v>
      </c>
      <c r="J38" s="8" t="s">
        <v>133</v>
      </c>
    </row>
    <row r="39" customFormat="false" ht="15" hidden="false" customHeight="false" outlineLevel="0" collapsed="false">
      <c r="A39" s="6" t="s">
        <v>134</v>
      </c>
      <c r="B39" s="12" t="s">
        <v>52</v>
      </c>
      <c r="C39" s="15" t="n">
        <v>150000</v>
      </c>
      <c r="D39" s="15" t="n">
        <v>100000</v>
      </c>
      <c r="E39" s="15" t="n">
        <v>50000</v>
      </c>
      <c r="F39" s="16" t="n">
        <f aca="false">INDEX(C39:E39,1,$C$3)</f>
        <v>100000</v>
      </c>
      <c r="G39" s="6" t="s">
        <v>45</v>
      </c>
      <c r="H39" s="6" t="s">
        <v>40</v>
      </c>
      <c r="I39" s="6" t="s">
        <v>41</v>
      </c>
      <c r="J39" s="8" t="s">
        <v>135</v>
      </c>
    </row>
    <row r="40" customFormat="false" ht="15" hidden="false" customHeight="false" outlineLevel="0" collapsed="false">
      <c r="A40" s="6" t="s">
        <v>136</v>
      </c>
      <c r="B40" s="12" t="s">
        <v>137</v>
      </c>
      <c r="C40" s="13" t="n">
        <v>5</v>
      </c>
      <c r="D40" s="13" t="n">
        <v>10</v>
      </c>
      <c r="E40" s="13" t="n">
        <v>20</v>
      </c>
      <c r="F40" s="14" t="n">
        <f aca="false">INDEX(C40:E40,1,$C$3)</f>
        <v>10</v>
      </c>
      <c r="G40" s="6" t="s">
        <v>45</v>
      </c>
      <c r="H40" s="6" t="s">
        <v>80</v>
      </c>
      <c r="I40" s="6" t="s">
        <v>41</v>
      </c>
      <c r="J40" s="8" t="s">
        <v>138</v>
      </c>
    </row>
    <row r="41" customFormat="false" ht="15" hidden="false" customHeight="false" outlineLevel="0" collapsed="false">
      <c r="A41" s="6" t="s">
        <v>139</v>
      </c>
      <c r="B41" s="12" t="s">
        <v>140</v>
      </c>
      <c r="C41" s="13" t="n">
        <v>60</v>
      </c>
      <c r="D41" s="13" t="n">
        <v>45</v>
      </c>
      <c r="E41" s="13" t="n">
        <v>30</v>
      </c>
      <c r="F41" s="14" t="n">
        <f aca="false">INDEX(C41:E41,1,$C$3)</f>
        <v>45</v>
      </c>
      <c r="G41" s="6" t="s">
        <v>45</v>
      </c>
      <c r="H41" s="6" t="s">
        <v>40</v>
      </c>
      <c r="I41" s="17" t="s">
        <v>46</v>
      </c>
      <c r="J41" s="8" t="s">
        <v>141</v>
      </c>
    </row>
    <row r="42" customFormat="false" ht="22.35" hidden="false" customHeight="false" outlineLevel="0" collapsed="false">
      <c r="A42" s="6" t="s">
        <v>142</v>
      </c>
      <c r="B42" s="12" t="s">
        <v>87</v>
      </c>
      <c r="C42" s="13" t="n">
        <v>9</v>
      </c>
      <c r="D42" s="13" t="n">
        <v>6</v>
      </c>
      <c r="E42" s="13" t="n">
        <v>3</v>
      </c>
      <c r="F42" s="14" t="n">
        <f aca="false">INDEX(C42:E42,1,$C$3)</f>
        <v>6</v>
      </c>
      <c r="G42" s="6" t="s">
        <v>45</v>
      </c>
      <c r="H42" s="6" t="s">
        <v>91</v>
      </c>
      <c r="I42" s="17" t="s">
        <v>46</v>
      </c>
      <c r="J42" s="8" t="s">
        <v>143</v>
      </c>
    </row>
    <row r="43" customFormat="false" ht="15" hidden="false" customHeight="false" outlineLevel="0" collapsed="false">
      <c r="A43" s="10" t="s">
        <v>144</v>
      </c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22.35" hidden="false" customHeight="false" outlineLevel="0" collapsed="false">
      <c r="A44" s="6" t="s">
        <v>145</v>
      </c>
      <c r="B44" s="12" t="s">
        <v>64</v>
      </c>
      <c r="C44" s="5" t="n">
        <v>70</v>
      </c>
      <c r="D44" s="5" t="n">
        <v>200</v>
      </c>
      <c r="E44" s="5" t="n">
        <v>400</v>
      </c>
      <c r="F44" s="14" t="n">
        <f aca="false">INDEX(C44:E44,1,$C$3)</f>
        <v>200</v>
      </c>
      <c r="G44" s="6" t="s">
        <v>24</v>
      </c>
      <c r="H44" s="6" t="s">
        <v>146</v>
      </c>
      <c r="I44" s="17" t="s">
        <v>46</v>
      </c>
      <c r="J44" s="8" t="s">
        <v>147</v>
      </c>
    </row>
    <row r="45" customFormat="false" ht="22.35" hidden="false" customHeight="false" outlineLevel="0" collapsed="false">
      <c r="A45" s="6" t="s">
        <v>148</v>
      </c>
      <c r="B45" s="12" t="s">
        <v>149</v>
      </c>
      <c r="C45" s="25" t="n">
        <v>300000</v>
      </c>
      <c r="D45" s="25" t="n">
        <v>500000</v>
      </c>
      <c r="E45" s="25" t="n">
        <v>1000000</v>
      </c>
      <c r="F45" s="16" t="n">
        <f aca="false">INDEX(C45:E45,1,$C$3)</f>
        <v>500000</v>
      </c>
      <c r="G45" s="6" t="s">
        <v>45</v>
      </c>
      <c r="H45" s="6" t="s">
        <v>150</v>
      </c>
      <c r="I45" s="17" t="s">
        <v>46</v>
      </c>
      <c r="J45" s="8" t="s">
        <v>151</v>
      </c>
    </row>
    <row r="46" customFormat="false" ht="15" hidden="false" customHeight="false" outlineLevel="0" collapsed="false">
      <c r="A46" s="6" t="s">
        <v>152</v>
      </c>
      <c r="B46" s="12" t="s">
        <v>153</v>
      </c>
      <c r="C46" s="13" t="n">
        <v>0</v>
      </c>
      <c r="D46" s="13" t="n">
        <v>1</v>
      </c>
      <c r="E46" s="13" t="n">
        <v>2</v>
      </c>
      <c r="F46" s="14" t="n">
        <f aca="false">INDEX(C46:E46,1,$C$3)</f>
        <v>1</v>
      </c>
      <c r="G46" s="6" t="s">
        <v>45</v>
      </c>
      <c r="H46" s="6" t="s">
        <v>150</v>
      </c>
      <c r="I46" s="17" t="s">
        <v>46</v>
      </c>
      <c r="J46" s="8" t="s">
        <v>154</v>
      </c>
    </row>
    <row r="47" customFormat="false" ht="22.35" hidden="false" customHeight="false" outlineLevel="0" collapsed="false">
      <c r="A47" s="6" t="s">
        <v>155</v>
      </c>
      <c r="B47" s="12" t="s">
        <v>156</v>
      </c>
      <c r="C47" s="15" t="n">
        <v>50000</v>
      </c>
      <c r="D47" s="15" t="n">
        <v>100000</v>
      </c>
      <c r="E47" s="15" t="n">
        <v>200000</v>
      </c>
      <c r="F47" s="16" t="n">
        <f aca="false">INDEX(C47:E47,1,$C$3)</f>
        <v>100000</v>
      </c>
      <c r="G47" s="6" t="s">
        <v>45</v>
      </c>
      <c r="H47" s="6" t="s">
        <v>150</v>
      </c>
      <c r="I47" s="17" t="s">
        <v>46</v>
      </c>
      <c r="J47" s="8" t="s">
        <v>157</v>
      </c>
    </row>
    <row r="48" customFormat="false" ht="15" hidden="false" customHeight="false" outlineLevel="0" collapsed="false">
      <c r="A48" s="6" t="s">
        <v>98</v>
      </c>
      <c r="B48" s="12" t="s">
        <v>99</v>
      </c>
      <c r="C48" s="22" t="n">
        <v>0.05</v>
      </c>
      <c r="D48" s="22" t="n">
        <v>0.1</v>
      </c>
      <c r="E48" s="22" t="n">
        <v>0.15</v>
      </c>
      <c r="F48" s="23" t="n">
        <f aca="false">INDEX(C48:E48,1,$C$3)</f>
        <v>0.1</v>
      </c>
      <c r="G48" s="6" t="s">
        <v>45</v>
      </c>
      <c r="H48" s="6" t="s">
        <v>158</v>
      </c>
      <c r="I48" s="17" t="s">
        <v>46</v>
      </c>
      <c r="J48" s="8" t="s">
        <v>159</v>
      </c>
    </row>
    <row r="49" customFormat="false" ht="15" hidden="false" customHeight="false" outlineLevel="0" collapsed="false">
      <c r="A49" s="6" t="s">
        <v>160</v>
      </c>
      <c r="B49" s="12" t="s">
        <v>87</v>
      </c>
      <c r="C49" s="13" t="n">
        <v>6</v>
      </c>
      <c r="D49" s="13" t="n">
        <v>4</v>
      </c>
      <c r="E49" s="13" t="n">
        <v>3</v>
      </c>
      <c r="F49" s="14" t="n">
        <f aca="false">INDEX(C49:E49,1,$C$3)</f>
        <v>4</v>
      </c>
      <c r="G49" s="6" t="s">
        <v>45</v>
      </c>
      <c r="H49" s="6" t="s">
        <v>158</v>
      </c>
      <c r="I49" s="17" t="s">
        <v>46</v>
      </c>
      <c r="J49" s="8" t="s">
        <v>161</v>
      </c>
    </row>
    <row r="50" customFormat="false" ht="22.35" hidden="false" customHeight="false" outlineLevel="0" collapsed="false">
      <c r="A50" s="6" t="s">
        <v>104</v>
      </c>
      <c r="B50" s="12" t="s">
        <v>105</v>
      </c>
      <c r="C50" s="24" t="n">
        <v>0.3</v>
      </c>
      <c r="D50" s="24" t="n">
        <v>0.2</v>
      </c>
      <c r="E50" s="24" t="n">
        <v>0.15</v>
      </c>
      <c r="F50" s="23" t="n">
        <f aca="false">INDEX(C50:E50,1,$C$3)</f>
        <v>0.2</v>
      </c>
      <c r="G50" s="6" t="s">
        <v>45</v>
      </c>
      <c r="H50" s="6" t="s">
        <v>162</v>
      </c>
      <c r="I50" s="17" t="s">
        <v>46</v>
      </c>
      <c r="J50" s="8" t="s">
        <v>163</v>
      </c>
    </row>
    <row r="51" customFormat="false" ht="15" hidden="false" customHeight="false" outlineLevel="0" collapsed="false">
      <c r="A51" s="6" t="s">
        <v>164</v>
      </c>
      <c r="B51" s="12" t="s">
        <v>39</v>
      </c>
      <c r="C51" s="13" t="n">
        <v>16</v>
      </c>
      <c r="D51" s="13" t="n">
        <v>8</v>
      </c>
      <c r="E51" s="13" t="n">
        <v>6</v>
      </c>
      <c r="F51" s="14" t="n">
        <f aca="false">INDEX(C51:E51,1,$C$3)</f>
        <v>8</v>
      </c>
      <c r="G51" s="6" t="s">
        <v>45</v>
      </c>
      <c r="H51" s="6" t="s">
        <v>162</v>
      </c>
      <c r="I51" s="6" t="s">
        <v>41</v>
      </c>
      <c r="J51" s="8" t="s">
        <v>165</v>
      </c>
    </row>
    <row r="52" customFormat="false" ht="15" hidden="false" customHeight="false" outlineLevel="0" collapsed="false">
      <c r="A52" s="6" t="s">
        <v>166</v>
      </c>
      <c r="B52" s="12" t="s">
        <v>110</v>
      </c>
      <c r="C52" s="26" t="n">
        <v>3</v>
      </c>
      <c r="D52" s="26" t="n">
        <v>2</v>
      </c>
      <c r="E52" s="26" t="n">
        <v>1</v>
      </c>
      <c r="F52" s="27" t="n">
        <f aca="false">INDEX(C52:E52,1,$C$3)</f>
        <v>2</v>
      </c>
      <c r="G52" s="6" t="s">
        <v>45</v>
      </c>
      <c r="H52" s="6" t="s">
        <v>162</v>
      </c>
      <c r="I52" s="6" t="s">
        <v>41</v>
      </c>
      <c r="J52" s="8" t="s">
        <v>167</v>
      </c>
    </row>
    <row r="53" customFormat="false" ht="22.35" hidden="false" customHeight="false" outlineLevel="0" collapsed="false">
      <c r="A53" s="6" t="s">
        <v>168</v>
      </c>
      <c r="B53" s="12" t="s">
        <v>120</v>
      </c>
      <c r="C53" s="5" t="n">
        <v>0</v>
      </c>
      <c r="D53" s="5" t="n">
        <v>1</v>
      </c>
      <c r="E53" s="5" t="n">
        <v>1</v>
      </c>
      <c r="F53" s="14" t="n">
        <f aca="false">INDEX(C53:E53,1,$C$3)</f>
        <v>1</v>
      </c>
      <c r="G53" s="6" t="s">
        <v>169</v>
      </c>
      <c r="H53" s="6" t="s">
        <v>170</v>
      </c>
      <c r="I53" s="17" t="s">
        <v>46</v>
      </c>
      <c r="J53" s="8" t="s">
        <v>171</v>
      </c>
    </row>
    <row r="54" customFormat="false" ht="22.35" hidden="false" customHeight="false" outlineLevel="0" collapsed="false">
      <c r="A54" s="6" t="s">
        <v>172</v>
      </c>
      <c r="B54" s="12" t="s">
        <v>52</v>
      </c>
      <c r="C54" s="25" t="n">
        <v>500000</v>
      </c>
      <c r="D54" s="25" t="n">
        <v>0</v>
      </c>
      <c r="E54" s="25" t="n">
        <v>0</v>
      </c>
      <c r="F54" s="16" t="n">
        <f aca="false">INDEX(C54:E54,1,$C$3)</f>
        <v>0</v>
      </c>
      <c r="G54" s="6" t="s">
        <v>169</v>
      </c>
      <c r="H54" s="6" t="s">
        <v>170</v>
      </c>
      <c r="I54" s="17" t="s">
        <v>46</v>
      </c>
      <c r="J54" s="8" t="s">
        <v>173</v>
      </c>
    </row>
    <row r="55" customFormat="false" ht="15" hidden="false" customHeight="false" outlineLevel="0" collapsed="false">
      <c r="A55" s="6" t="s">
        <v>174</v>
      </c>
      <c r="B55" s="12" t="s">
        <v>52</v>
      </c>
      <c r="C55" s="15" t="n">
        <v>0</v>
      </c>
      <c r="D55" s="15" t="n">
        <v>0</v>
      </c>
      <c r="E55" s="15" t="n">
        <v>0</v>
      </c>
      <c r="F55" s="16" t="n">
        <f aca="false">INDEX(C55:E55,1,$C$3)</f>
        <v>0</v>
      </c>
      <c r="G55" s="6" t="s">
        <v>59</v>
      </c>
      <c r="H55" s="6" t="s">
        <v>162</v>
      </c>
      <c r="I55" s="6" t="s">
        <v>41</v>
      </c>
      <c r="J55" s="8" t="s">
        <v>175</v>
      </c>
    </row>
    <row r="56" customFormat="false" ht="15" hidden="false" customHeight="false" outlineLevel="0" collapsed="false">
      <c r="A56" s="6" t="s">
        <v>117</v>
      </c>
      <c r="B56" s="12" t="s">
        <v>49</v>
      </c>
      <c r="C56" s="15" t="n">
        <v>100</v>
      </c>
      <c r="D56" s="15" t="n">
        <v>50</v>
      </c>
      <c r="E56" s="15" t="n">
        <v>25</v>
      </c>
      <c r="F56" s="16" t="n">
        <f aca="false">INDEX(C56:E56,1,$C$3)</f>
        <v>50</v>
      </c>
      <c r="G56" s="6" t="s">
        <v>45</v>
      </c>
      <c r="H56" s="6" t="s">
        <v>56</v>
      </c>
      <c r="I56" s="6" t="s">
        <v>41</v>
      </c>
      <c r="J56" s="8" t="s">
        <v>176</v>
      </c>
    </row>
    <row r="57" customFormat="false" ht="15" hidden="false" customHeight="false" outlineLevel="0" collapsed="false">
      <c r="A57" s="6" t="s">
        <v>119</v>
      </c>
      <c r="B57" s="12" t="s">
        <v>120</v>
      </c>
      <c r="C57" s="13" t="n">
        <v>0</v>
      </c>
      <c r="D57" s="13" t="n">
        <v>0</v>
      </c>
      <c r="E57" s="13" t="n">
        <v>0</v>
      </c>
      <c r="F57" s="14" t="n">
        <f aca="false">INDEX(C57:E57,1,$C$3)</f>
        <v>0</v>
      </c>
      <c r="G57" s="6" t="s">
        <v>59</v>
      </c>
      <c r="H57" s="6" t="s">
        <v>60</v>
      </c>
      <c r="I57" s="6" t="s">
        <v>41</v>
      </c>
      <c r="J57" s="8" t="s">
        <v>177</v>
      </c>
    </row>
    <row r="58" customFormat="false" ht="15" hidden="false" customHeight="false" outlineLevel="0" collapsed="false">
      <c r="A58" s="6" t="s">
        <v>122</v>
      </c>
      <c r="B58" s="12" t="s">
        <v>123</v>
      </c>
      <c r="C58" s="13" t="n">
        <v>0</v>
      </c>
      <c r="D58" s="13" t="n">
        <v>0</v>
      </c>
      <c r="E58" s="13" t="n">
        <v>0</v>
      </c>
      <c r="F58" s="14" t="n">
        <f aca="false">INDEX(C58:E58,1,$C$3)</f>
        <v>0</v>
      </c>
      <c r="G58" s="6" t="s">
        <v>45</v>
      </c>
      <c r="H58" s="6" t="s">
        <v>40</v>
      </c>
      <c r="I58" s="6" t="s">
        <v>41</v>
      </c>
      <c r="J58" s="8" t="s">
        <v>178</v>
      </c>
    </row>
    <row r="59" customFormat="false" ht="15" hidden="false" customHeight="false" outlineLevel="0" collapsed="false">
      <c r="A59" s="6" t="s">
        <v>125</v>
      </c>
      <c r="B59" s="12" t="s">
        <v>123</v>
      </c>
      <c r="C59" s="13" t="n">
        <v>2</v>
      </c>
      <c r="D59" s="13" t="n">
        <v>1</v>
      </c>
      <c r="E59" s="13" t="n">
        <v>1</v>
      </c>
      <c r="F59" s="14" t="n">
        <f aca="false">INDEX(C59:E59,1,$C$3)</f>
        <v>1</v>
      </c>
      <c r="G59" s="6" t="s">
        <v>45</v>
      </c>
      <c r="H59" s="6" t="s">
        <v>40</v>
      </c>
      <c r="I59" s="6" t="s">
        <v>41</v>
      </c>
      <c r="J59" s="8" t="s">
        <v>179</v>
      </c>
    </row>
    <row r="60" customFormat="false" ht="15" hidden="false" customHeight="false" outlineLevel="0" collapsed="false">
      <c r="A60" s="6" t="s">
        <v>127</v>
      </c>
      <c r="B60" s="12" t="s">
        <v>123</v>
      </c>
      <c r="C60" s="13" t="n">
        <v>3</v>
      </c>
      <c r="D60" s="13" t="n">
        <v>2</v>
      </c>
      <c r="E60" s="13" t="n">
        <v>2</v>
      </c>
      <c r="F60" s="14" t="n">
        <f aca="false">INDEX(C60:E60,1,$C$3)</f>
        <v>2</v>
      </c>
      <c r="G60" s="6" t="s">
        <v>45</v>
      </c>
      <c r="H60" s="6" t="s">
        <v>40</v>
      </c>
      <c r="I60" s="6" t="s">
        <v>41</v>
      </c>
      <c r="J60" s="8" t="s">
        <v>180</v>
      </c>
    </row>
    <row r="61" customFormat="false" ht="15" hidden="false" customHeight="false" outlineLevel="0" collapsed="false">
      <c r="A61" s="6" t="s">
        <v>181</v>
      </c>
      <c r="B61" s="12" t="s">
        <v>39</v>
      </c>
      <c r="C61" s="13" t="n">
        <v>10</v>
      </c>
      <c r="D61" s="13" t="n">
        <v>8</v>
      </c>
      <c r="E61" s="13" t="n">
        <v>6</v>
      </c>
      <c r="F61" s="14" t="n">
        <f aca="false">INDEX(C61:E61,1,$C$3)</f>
        <v>8</v>
      </c>
      <c r="G61" s="6" t="s">
        <v>45</v>
      </c>
      <c r="H61" s="6" t="s">
        <v>146</v>
      </c>
      <c r="I61" s="6" t="s">
        <v>41</v>
      </c>
      <c r="J61" s="8" t="s">
        <v>182</v>
      </c>
    </row>
    <row r="62" customFormat="false" ht="15" hidden="false" customHeight="false" outlineLevel="0" collapsed="false">
      <c r="A62" s="6" t="s">
        <v>183</v>
      </c>
      <c r="B62" s="12" t="s">
        <v>132</v>
      </c>
      <c r="C62" s="15" t="n">
        <v>15000</v>
      </c>
      <c r="D62" s="15" t="n">
        <v>10000</v>
      </c>
      <c r="E62" s="15" t="n">
        <v>6000</v>
      </c>
      <c r="F62" s="16" t="n">
        <f aca="false">INDEX(C62:E62,1,$C$3)</f>
        <v>10000</v>
      </c>
      <c r="G62" s="6" t="s">
        <v>24</v>
      </c>
      <c r="H62" s="6" t="s">
        <v>40</v>
      </c>
      <c r="I62" s="6" t="s">
        <v>41</v>
      </c>
      <c r="J62" s="8" t="s">
        <v>184</v>
      </c>
    </row>
    <row r="63" customFormat="false" ht="15" hidden="false" customHeight="false" outlineLevel="0" collapsed="false">
      <c r="A63" s="6" t="s">
        <v>185</v>
      </c>
      <c r="B63" s="12" t="s">
        <v>52</v>
      </c>
      <c r="C63" s="15" t="n">
        <v>200000</v>
      </c>
      <c r="D63" s="15" t="n">
        <v>150000</v>
      </c>
      <c r="E63" s="15" t="n">
        <v>100000</v>
      </c>
      <c r="F63" s="16" t="n">
        <f aca="false">INDEX(C63:E63,1,$C$3)</f>
        <v>150000</v>
      </c>
      <c r="G63" s="6" t="s">
        <v>45</v>
      </c>
      <c r="H63" s="6" t="s">
        <v>40</v>
      </c>
      <c r="I63" s="6" t="s">
        <v>41</v>
      </c>
      <c r="J63" s="8" t="s">
        <v>186</v>
      </c>
    </row>
    <row r="64" customFormat="false" ht="15" hidden="false" customHeight="false" outlineLevel="0" collapsed="false">
      <c r="A64" s="6" t="s">
        <v>136</v>
      </c>
      <c r="B64" s="12" t="s">
        <v>137</v>
      </c>
      <c r="C64" s="13" t="n">
        <v>4</v>
      </c>
      <c r="D64" s="13" t="n">
        <v>8</v>
      </c>
      <c r="E64" s="13" t="n">
        <v>15</v>
      </c>
      <c r="F64" s="14" t="n">
        <f aca="false">INDEX(C64:E64,1,$C$3)</f>
        <v>8</v>
      </c>
      <c r="G64" s="6" t="s">
        <v>45</v>
      </c>
      <c r="H64" s="6" t="s">
        <v>146</v>
      </c>
      <c r="I64" s="6" t="s">
        <v>41</v>
      </c>
      <c r="J64" s="8" t="s">
        <v>187</v>
      </c>
    </row>
    <row r="65" customFormat="false" ht="15" hidden="false" customHeight="false" outlineLevel="0" collapsed="false">
      <c r="A65" s="6" t="s">
        <v>139</v>
      </c>
      <c r="B65" s="12" t="s">
        <v>140</v>
      </c>
      <c r="C65" s="13" t="n">
        <v>90</v>
      </c>
      <c r="D65" s="13" t="n">
        <v>60</v>
      </c>
      <c r="E65" s="13" t="n">
        <v>45</v>
      </c>
      <c r="F65" s="14" t="n">
        <f aca="false">INDEX(C65:E65,1,$C$3)</f>
        <v>60</v>
      </c>
      <c r="G65" s="6" t="s">
        <v>45</v>
      </c>
      <c r="H65" s="6" t="s">
        <v>40</v>
      </c>
      <c r="I65" s="17" t="s">
        <v>46</v>
      </c>
      <c r="J65" s="8" t="s">
        <v>188</v>
      </c>
    </row>
    <row r="66" customFormat="false" ht="15" hidden="false" customHeight="false" outlineLevel="0" collapsed="false">
      <c r="A66" s="10" t="s">
        <v>189</v>
      </c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22.35" hidden="false" customHeight="false" outlineLevel="0" collapsed="false">
      <c r="A67" s="6" t="s">
        <v>190</v>
      </c>
      <c r="B67" s="12" t="s">
        <v>64</v>
      </c>
      <c r="C67" s="5" t="n">
        <v>15</v>
      </c>
      <c r="D67" s="5" t="n">
        <v>30</v>
      </c>
      <c r="E67" s="5" t="n">
        <v>60</v>
      </c>
      <c r="F67" s="14" t="n">
        <f aca="false">INDEX(C67:E67,1,$C$3)</f>
        <v>30</v>
      </c>
      <c r="G67" s="6" t="s">
        <v>24</v>
      </c>
      <c r="H67" s="6" t="s">
        <v>191</v>
      </c>
      <c r="I67" s="17" t="s">
        <v>46</v>
      </c>
      <c r="J67" s="8" t="s">
        <v>192</v>
      </c>
    </row>
    <row r="68" customFormat="false" ht="22.35" hidden="false" customHeight="false" outlineLevel="0" collapsed="false">
      <c r="A68" s="6" t="s">
        <v>193</v>
      </c>
      <c r="B68" s="12" t="s">
        <v>194</v>
      </c>
      <c r="C68" s="25" t="n">
        <v>2000</v>
      </c>
      <c r="D68" s="25" t="n">
        <v>3000</v>
      </c>
      <c r="E68" s="25" t="n">
        <v>5000</v>
      </c>
      <c r="F68" s="16" t="n">
        <f aca="false">INDEX(C68:E68,1,$C$3)</f>
        <v>3000</v>
      </c>
      <c r="G68" s="6" t="s">
        <v>45</v>
      </c>
      <c r="H68" s="6" t="s">
        <v>195</v>
      </c>
      <c r="I68" s="17" t="s">
        <v>46</v>
      </c>
      <c r="J68" s="8" t="s">
        <v>196</v>
      </c>
    </row>
    <row r="69" customFormat="false" ht="15" hidden="false" customHeight="false" outlineLevel="0" collapsed="false">
      <c r="A69" s="6" t="s">
        <v>197</v>
      </c>
      <c r="B69" s="12" t="s">
        <v>198</v>
      </c>
      <c r="C69" s="13" t="n">
        <v>100</v>
      </c>
      <c r="D69" s="13" t="n">
        <v>250</v>
      </c>
      <c r="E69" s="13" t="n">
        <v>400</v>
      </c>
      <c r="F69" s="14" t="n">
        <f aca="false">INDEX(C69:E69,1,$C$3)</f>
        <v>250</v>
      </c>
      <c r="G69" s="6" t="s">
        <v>24</v>
      </c>
      <c r="H69" s="6" t="s">
        <v>191</v>
      </c>
      <c r="I69" s="6" t="s">
        <v>41</v>
      </c>
      <c r="J69" s="8" t="s">
        <v>199</v>
      </c>
    </row>
    <row r="70" customFormat="false" ht="22.35" hidden="false" customHeight="false" outlineLevel="0" collapsed="false">
      <c r="A70" s="6" t="s">
        <v>200</v>
      </c>
      <c r="B70" s="12" t="s">
        <v>201</v>
      </c>
      <c r="C70" s="24" t="n">
        <v>0</v>
      </c>
      <c r="D70" s="24" t="n">
        <v>0.1</v>
      </c>
      <c r="E70" s="24" t="n">
        <v>0.3</v>
      </c>
      <c r="F70" s="23" t="n">
        <f aca="false">INDEX(C70:E70,1,$C$3)</f>
        <v>0.1</v>
      </c>
      <c r="G70" s="6" t="s">
        <v>45</v>
      </c>
      <c r="H70" s="6" t="s">
        <v>202</v>
      </c>
      <c r="I70" s="17" t="s">
        <v>46</v>
      </c>
      <c r="J70" s="8" t="s">
        <v>203</v>
      </c>
    </row>
    <row r="71" customFormat="false" ht="22.35" hidden="false" customHeight="false" outlineLevel="0" collapsed="false">
      <c r="A71" s="6" t="s">
        <v>204</v>
      </c>
      <c r="B71" s="12" t="s">
        <v>205</v>
      </c>
      <c r="C71" s="15" t="n">
        <v>4800000</v>
      </c>
      <c r="D71" s="15" t="n">
        <v>4800000</v>
      </c>
      <c r="E71" s="15" t="n">
        <v>4800000</v>
      </c>
      <c r="F71" s="16" t="n">
        <f aca="false">INDEX(C71:E71,1,$C$3)</f>
        <v>4800000</v>
      </c>
      <c r="G71" s="6" t="s">
        <v>206</v>
      </c>
      <c r="H71" s="6" t="s">
        <v>207</v>
      </c>
      <c r="I71" s="6" t="s">
        <v>41</v>
      </c>
      <c r="J71" s="8" t="s">
        <v>208</v>
      </c>
    </row>
    <row r="72" customFormat="false" ht="22.35" hidden="false" customHeight="false" outlineLevel="0" collapsed="false">
      <c r="A72" s="6" t="s">
        <v>209</v>
      </c>
      <c r="B72" s="12" t="s">
        <v>210</v>
      </c>
      <c r="C72" s="24" t="n">
        <v>0.03</v>
      </c>
      <c r="D72" s="24" t="n">
        <v>0.05</v>
      </c>
      <c r="E72" s="24" t="n">
        <v>0.08</v>
      </c>
      <c r="F72" s="23" t="n">
        <f aca="false">INDEX(C72:E72,1,$C$3)</f>
        <v>0.05</v>
      </c>
      <c r="G72" s="6" t="s">
        <v>45</v>
      </c>
      <c r="H72" s="6" t="s">
        <v>202</v>
      </c>
      <c r="I72" s="17" t="s">
        <v>46</v>
      </c>
      <c r="J72" s="8" t="s">
        <v>211</v>
      </c>
    </row>
    <row r="73" customFormat="false" ht="15" hidden="false" customHeight="false" outlineLevel="0" collapsed="false">
      <c r="A73" s="6" t="s">
        <v>212</v>
      </c>
      <c r="B73" s="12" t="s">
        <v>213</v>
      </c>
      <c r="C73" s="24" t="n">
        <v>0.2</v>
      </c>
      <c r="D73" s="24" t="n">
        <v>0.25</v>
      </c>
      <c r="E73" s="24" t="n">
        <v>0.3</v>
      </c>
      <c r="F73" s="23" t="n">
        <f aca="false">INDEX(C73:E73,1,$C$3)</f>
        <v>0.25</v>
      </c>
      <c r="G73" s="6" t="s">
        <v>45</v>
      </c>
      <c r="H73" s="6" t="s">
        <v>195</v>
      </c>
      <c r="I73" s="17" t="s">
        <v>46</v>
      </c>
      <c r="J73" s="8" t="s">
        <v>214</v>
      </c>
    </row>
    <row r="74" customFormat="false" ht="22.35" hidden="false" customHeight="false" outlineLevel="0" collapsed="false">
      <c r="A74" s="6" t="s">
        <v>98</v>
      </c>
      <c r="B74" s="12" t="s">
        <v>99</v>
      </c>
      <c r="C74" s="22" t="n">
        <v>0.05</v>
      </c>
      <c r="D74" s="22" t="n">
        <v>0.1</v>
      </c>
      <c r="E74" s="22" t="n">
        <v>0.2</v>
      </c>
      <c r="F74" s="23" t="n">
        <f aca="false">INDEX(C74:E74,1,$C$3)</f>
        <v>0.1</v>
      </c>
      <c r="G74" s="6" t="s">
        <v>45</v>
      </c>
      <c r="H74" s="6" t="s">
        <v>215</v>
      </c>
      <c r="I74" s="17" t="s">
        <v>46</v>
      </c>
      <c r="J74" s="8" t="s">
        <v>216</v>
      </c>
    </row>
    <row r="75" customFormat="false" ht="15" hidden="false" customHeight="false" outlineLevel="0" collapsed="false">
      <c r="A75" s="6" t="s">
        <v>160</v>
      </c>
      <c r="B75" s="12" t="s">
        <v>87</v>
      </c>
      <c r="C75" s="13" t="n">
        <v>9</v>
      </c>
      <c r="D75" s="13" t="n">
        <v>6</v>
      </c>
      <c r="E75" s="13" t="n">
        <v>4</v>
      </c>
      <c r="F75" s="14" t="n">
        <f aca="false">INDEX(C75:E75,1,$C$3)</f>
        <v>6</v>
      </c>
      <c r="G75" s="6" t="s">
        <v>45</v>
      </c>
      <c r="H75" s="6" t="s">
        <v>191</v>
      </c>
      <c r="I75" s="17" t="s">
        <v>46</v>
      </c>
      <c r="J75" s="8" t="s">
        <v>217</v>
      </c>
    </row>
    <row r="76" customFormat="false" ht="15" hidden="false" customHeight="false" outlineLevel="0" collapsed="false">
      <c r="A76" s="6" t="s">
        <v>104</v>
      </c>
      <c r="B76" s="12" t="s">
        <v>105</v>
      </c>
      <c r="C76" s="24" t="n">
        <v>0.2</v>
      </c>
      <c r="D76" s="24" t="n">
        <v>0.15</v>
      </c>
      <c r="E76" s="24" t="n">
        <v>0.1</v>
      </c>
      <c r="F76" s="23" t="n">
        <f aca="false">INDEX(C76:E76,1,$C$3)</f>
        <v>0.15</v>
      </c>
      <c r="G76" s="6" t="s">
        <v>45</v>
      </c>
      <c r="H76" s="6" t="s">
        <v>218</v>
      </c>
      <c r="I76" s="17" t="s">
        <v>46</v>
      </c>
      <c r="J76" s="8" t="s">
        <v>219</v>
      </c>
    </row>
    <row r="77" customFormat="false" ht="15" hidden="false" customHeight="false" outlineLevel="0" collapsed="false">
      <c r="A77" s="6" t="s">
        <v>220</v>
      </c>
      <c r="B77" s="12" t="s">
        <v>39</v>
      </c>
      <c r="C77" s="13" t="n">
        <v>120</v>
      </c>
      <c r="D77" s="13" t="n">
        <v>80</v>
      </c>
      <c r="E77" s="13" t="n">
        <v>60</v>
      </c>
      <c r="F77" s="14" t="n">
        <f aca="false">INDEX(C77:E77,1,$C$3)</f>
        <v>80</v>
      </c>
      <c r="G77" s="6" t="s">
        <v>45</v>
      </c>
      <c r="H77" s="6" t="s">
        <v>215</v>
      </c>
      <c r="I77" s="17" t="s">
        <v>46</v>
      </c>
      <c r="J77" s="8" t="s">
        <v>221</v>
      </c>
    </row>
    <row r="78" customFormat="false" ht="15" hidden="false" customHeight="false" outlineLevel="0" collapsed="false">
      <c r="A78" s="6" t="s">
        <v>222</v>
      </c>
      <c r="B78" s="12" t="s">
        <v>110</v>
      </c>
      <c r="C78" s="26" t="n">
        <v>12</v>
      </c>
      <c r="D78" s="26" t="n">
        <v>8</v>
      </c>
      <c r="E78" s="26" t="n">
        <v>5</v>
      </c>
      <c r="F78" s="27" t="n">
        <f aca="false">INDEX(C78:E78,1,$C$3)</f>
        <v>8</v>
      </c>
      <c r="G78" s="6" t="s">
        <v>45</v>
      </c>
      <c r="H78" s="6" t="s">
        <v>215</v>
      </c>
      <c r="I78" s="17" t="s">
        <v>46</v>
      </c>
      <c r="J78" s="8" t="s">
        <v>223</v>
      </c>
    </row>
    <row r="79" customFormat="false" ht="22.35" hidden="false" customHeight="false" outlineLevel="0" collapsed="false">
      <c r="A79" s="6" t="s">
        <v>224</v>
      </c>
      <c r="B79" s="12" t="s">
        <v>52</v>
      </c>
      <c r="C79" s="25" t="n">
        <v>1000000</v>
      </c>
      <c r="D79" s="25" t="n">
        <v>500000</v>
      </c>
      <c r="E79" s="25" t="n">
        <v>200000</v>
      </c>
      <c r="F79" s="16" t="n">
        <f aca="false">INDEX(C79:E79,1,$C$3)</f>
        <v>500000</v>
      </c>
      <c r="G79" s="6" t="s">
        <v>169</v>
      </c>
      <c r="H79" s="6" t="s">
        <v>225</v>
      </c>
      <c r="I79" s="17" t="s">
        <v>46</v>
      </c>
      <c r="J79" s="8" t="s">
        <v>226</v>
      </c>
    </row>
    <row r="80" customFormat="false" ht="15" hidden="false" customHeight="false" outlineLevel="0" collapsed="false">
      <c r="A80" s="6" t="s">
        <v>227</v>
      </c>
      <c r="B80" s="12" t="s">
        <v>52</v>
      </c>
      <c r="C80" s="15" t="n">
        <v>0</v>
      </c>
      <c r="D80" s="15" t="n">
        <v>0</v>
      </c>
      <c r="E80" s="15" t="n">
        <v>0</v>
      </c>
      <c r="F80" s="16" t="n">
        <f aca="false">INDEX(C80:E80,1,$C$3)</f>
        <v>0</v>
      </c>
      <c r="G80" s="6" t="s">
        <v>59</v>
      </c>
      <c r="H80" s="6" t="s">
        <v>225</v>
      </c>
      <c r="I80" s="6" t="s">
        <v>41</v>
      </c>
      <c r="J80" s="8" t="s">
        <v>228</v>
      </c>
    </row>
    <row r="81" customFormat="false" ht="15" hidden="false" customHeight="false" outlineLevel="0" collapsed="false">
      <c r="A81" s="6" t="s">
        <v>229</v>
      </c>
      <c r="B81" s="12" t="s">
        <v>49</v>
      </c>
      <c r="C81" s="15" t="n">
        <v>1000</v>
      </c>
      <c r="D81" s="15" t="n">
        <v>500</v>
      </c>
      <c r="E81" s="15" t="n">
        <v>300</v>
      </c>
      <c r="F81" s="16" t="n">
        <f aca="false">INDEX(C81:E81,1,$C$3)</f>
        <v>500</v>
      </c>
      <c r="G81" s="6" t="s">
        <v>45</v>
      </c>
      <c r="H81" s="6" t="s">
        <v>56</v>
      </c>
      <c r="I81" s="6" t="s">
        <v>41</v>
      </c>
      <c r="J81" s="8" t="s">
        <v>230</v>
      </c>
    </row>
    <row r="82" customFormat="false" ht="15" hidden="false" customHeight="false" outlineLevel="0" collapsed="false">
      <c r="A82" s="6" t="s">
        <v>119</v>
      </c>
      <c r="B82" s="12" t="s">
        <v>120</v>
      </c>
      <c r="C82" s="13" t="n">
        <v>1</v>
      </c>
      <c r="D82" s="13" t="n">
        <v>1</v>
      </c>
      <c r="E82" s="13" t="n">
        <v>1</v>
      </c>
      <c r="F82" s="14" t="n">
        <f aca="false">INDEX(C82:E82,1,$C$3)</f>
        <v>1</v>
      </c>
      <c r="G82" s="6" t="s">
        <v>59</v>
      </c>
      <c r="H82" s="6" t="s">
        <v>60</v>
      </c>
      <c r="I82" s="6" t="s">
        <v>41</v>
      </c>
      <c r="J82" s="8" t="s">
        <v>231</v>
      </c>
    </row>
    <row r="83" customFormat="false" ht="15" hidden="false" customHeight="false" outlineLevel="0" collapsed="false">
      <c r="A83" s="6" t="s">
        <v>122</v>
      </c>
      <c r="B83" s="12" t="s">
        <v>123</v>
      </c>
      <c r="C83" s="13" t="n">
        <v>1</v>
      </c>
      <c r="D83" s="13" t="n">
        <v>1</v>
      </c>
      <c r="E83" s="13" t="n">
        <v>0</v>
      </c>
      <c r="F83" s="14" t="n">
        <f aca="false">INDEX(C83:E83,1,$C$3)</f>
        <v>1</v>
      </c>
      <c r="G83" s="6" t="s">
        <v>45</v>
      </c>
      <c r="H83" s="6" t="s">
        <v>40</v>
      </c>
      <c r="I83" s="6" t="s">
        <v>41</v>
      </c>
      <c r="J83" s="8" t="s">
        <v>232</v>
      </c>
    </row>
    <row r="84" customFormat="false" ht="15" hidden="false" customHeight="false" outlineLevel="0" collapsed="false">
      <c r="A84" s="6" t="s">
        <v>125</v>
      </c>
      <c r="B84" s="12" t="s">
        <v>123</v>
      </c>
      <c r="C84" s="13" t="n">
        <v>2</v>
      </c>
      <c r="D84" s="13" t="n">
        <v>2</v>
      </c>
      <c r="E84" s="13" t="n">
        <v>1</v>
      </c>
      <c r="F84" s="14" t="n">
        <f aca="false">INDEX(C84:E84,1,$C$3)</f>
        <v>2</v>
      </c>
      <c r="G84" s="6" t="s">
        <v>45</v>
      </c>
      <c r="H84" s="6" t="s">
        <v>40</v>
      </c>
      <c r="I84" s="6" t="s">
        <v>41</v>
      </c>
      <c r="J84" s="8" t="s">
        <v>233</v>
      </c>
    </row>
    <row r="85" customFormat="false" ht="15" hidden="false" customHeight="false" outlineLevel="0" collapsed="false">
      <c r="A85" s="6" t="s">
        <v>127</v>
      </c>
      <c r="B85" s="12" t="s">
        <v>123</v>
      </c>
      <c r="C85" s="13" t="n">
        <v>4</v>
      </c>
      <c r="D85" s="13" t="n">
        <v>3</v>
      </c>
      <c r="E85" s="13" t="n">
        <v>2</v>
      </c>
      <c r="F85" s="14" t="n">
        <f aca="false">INDEX(C85:E85,1,$C$3)</f>
        <v>3</v>
      </c>
      <c r="G85" s="6" t="s">
        <v>45</v>
      </c>
      <c r="H85" s="6" t="s">
        <v>40</v>
      </c>
      <c r="I85" s="6" t="s">
        <v>41</v>
      </c>
      <c r="J85" s="8" t="s">
        <v>234</v>
      </c>
    </row>
    <row r="86" customFormat="false" ht="15" hidden="false" customHeight="false" outlineLevel="0" collapsed="false">
      <c r="A86" s="6" t="s">
        <v>235</v>
      </c>
      <c r="B86" s="12" t="s">
        <v>39</v>
      </c>
      <c r="C86" s="13" t="n">
        <v>20</v>
      </c>
      <c r="D86" s="13" t="n">
        <v>15</v>
      </c>
      <c r="E86" s="13" t="n">
        <v>10</v>
      </c>
      <c r="F86" s="14" t="n">
        <f aca="false">INDEX(C86:E86,1,$C$3)</f>
        <v>15</v>
      </c>
      <c r="G86" s="6" t="s">
        <v>45</v>
      </c>
      <c r="H86" s="6" t="s">
        <v>191</v>
      </c>
      <c r="I86" s="6" t="s">
        <v>41</v>
      </c>
      <c r="J86" s="8" t="s">
        <v>236</v>
      </c>
    </row>
    <row r="87" customFormat="false" ht="15" hidden="false" customHeight="false" outlineLevel="0" collapsed="false">
      <c r="A87" s="6" t="s">
        <v>237</v>
      </c>
      <c r="B87" s="12" t="s">
        <v>132</v>
      </c>
      <c r="C87" s="15" t="n">
        <v>25000</v>
      </c>
      <c r="D87" s="15" t="n">
        <v>20000</v>
      </c>
      <c r="E87" s="15" t="n">
        <v>15000</v>
      </c>
      <c r="F87" s="16" t="n">
        <f aca="false">INDEX(C87:E87,1,$C$3)</f>
        <v>20000</v>
      </c>
      <c r="G87" s="6" t="s">
        <v>24</v>
      </c>
      <c r="H87" s="6" t="s">
        <v>40</v>
      </c>
      <c r="I87" s="6" t="s">
        <v>41</v>
      </c>
      <c r="J87" s="8" t="s">
        <v>238</v>
      </c>
    </row>
    <row r="88" customFormat="false" ht="15" hidden="false" customHeight="false" outlineLevel="0" collapsed="false">
      <c r="A88" s="6" t="s">
        <v>239</v>
      </c>
      <c r="B88" s="12" t="s">
        <v>52</v>
      </c>
      <c r="C88" s="15" t="n">
        <v>300000</v>
      </c>
      <c r="D88" s="15" t="n">
        <v>200000</v>
      </c>
      <c r="E88" s="15" t="n">
        <v>150000</v>
      </c>
      <c r="F88" s="16" t="n">
        <f aca="false">INDEX(C88:E88,1,$C$3)</f>
        <v>200000</v>
      </c>
      <c r="G88" s="6" t="s">
        <v>45</v>
      </c>
      <c r="H88" s="6" t="s">
        <v>40</v>
      </c>
      <c r="I88" s="6" t="s">
        <v>41</v>
      </c>
      <c r="J88" s="8" t="s">
        <v>186</v>
      </c>
    </row>
    <row r="89" customFormat="false" ht="15" hidden="false" customHeight="false" outlineLevel="0" collapsed="false">
      <c r="A89" s="6" t="s">
        <v>136</v>
      </c>
      <c r="B89" s="12" t="s">
        <v>137</v>
      </c>
      <c r="C89" s="13" t="n">
        <v>2</v>
      </c>
      <c r="D89" s="13" t="n">
        <v>5</v>
      </c>
      <c r="E89" s="13" t="n">
        <v>10</v>
      </c>
      <c r="F89" s="14" t="n">
        <f aca="false">INDEX(C89:E89,1,$C$3)</f>
        <v>5</v>
      </c>
      <c r="G89" s="6" t="s">
        <v>45</v>
      </c>
      <c r="H89" s="6" t="s">
        <v>191</v>
      </c>
      <c r="I89" s="6" t="s">
        <v>41</v>
      </c>
      <c r="J89" s="8" t="s">
        <v>187</v>
      </c>
    </row>
    <row r="90" customFormat="false" ht="15" hidden="false" customHeight="false" outlineLevel="0" collapsed="false">
      <c r="A90" s="6" t="s">
        <v>139</v>
      </c>
      <c r="B90" s="12" t="s">
        <v>140</v>
      </c>
      <c r="C90" s="13" t="n">
        <v>90</v>
      </c>
      <c r="D90" s="13" t="n">
        <v>60</v>
      </c>
      <c r="E90" s="13" t="n">
        <v>45</v>
      </c>
      <c r="F90" s="14" t="n">
        <f aca="false">INDEX(C90:E90,1,$C$3)</f>
        <v>60</v>
      </c>
      <c r="G90" s="6" t="s">
        <v>45</v>
      </c>
      <c r="H90" s="6" t="s">
        <v>40</v>
      </c>
      <c r="I90" s="17" t="s">
        <v>46</v>
      </c>
      <c r="J90" s="8" t="s">
        <v>240</v>
      </c>
    </row>
    <row r="92" customFormat="false" ht="30" hidden="false" customHeight="true" outlineLevel="0" collapsed="false">
      <c r="A92" s="28" t="s">
        <v>241</v>
      </c>
      <c r="B92" s="28"/>
      <c r="C92" s="28"/>
      <c r="D92" s="28"/>
      <c r="E92" s="28"/>
      <c r="F92" s="28"/>
      <c r="G92" s="28"/>
      <c r="H92" s="28"/>
      <c r="I92" s="28"/>
      <c r="J92" s="28"/>
    </row>
  </sheetData>
  <mergeCells count="1">
    <mergeCell ref="A92:J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242</v>
      </c>
    </row>
    <row r="2" customFormat="false" ht="30" hidden="false" customHeight="true" outlineLevel="0" collapsed="false">
      <c r="A2" s="28" t="s">
        <v>243</v>
      </c>
      <c r="B2" s="28"/>
      <c r="C2" s="28"/>
      <c r="D2" s="28"/>
      <c r="E2" s="28"/>
      <c r="F2" s="28"/>
      <c r="G2" s="28"/>
    </row>
    <row r="3" customFormat="false" ht="15" hidden="false" customHeight="false" outlineLevel="0" collapsed="false">
      <c r="F3" s="29" t="str">
        <f aca="false">"Active: "&amp;Assumptions!$D$3</f>
        <v>Active: Base</v>
      </c>
    </row>
    <row r="4" customFormat="false" ht="15" hidden="false" customHeight="false" outlineLevel="0" collapsed="false">
      <c r="A4" s="9" t="s">
        <v>244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245</v>
      </c>
    </row>
    <row r="5" customFormat="false" ht="15" hidden="false" customHeight="false" outlineLevel="0" collapsed="false">
      <c r="A5" s="10" t="s">
        <v>246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6" t="s">
        <v>247</v>
      </c>
      <c r="B6" s="12" t="s">
        <v>248</v>
      </c>
      <c r="C6" s="30" t="n">
        <f aca="false">Assumptions!C18</f>
        <v>50000000</v>
      </c>
      <c r="D6" s="30" t="n">
        <f aca="false">Assumptions!D18</f>
        <v>100000000</v>
      </c>
      <c r="E6" s="30" t="n">
        <f aca="false">Assumptions!E18</f>
        <v>175000000</v>
      </c>
      <c r="F6" s="16" t="n">
        <f aca="false">INDEX(C6:E6,1,Assumptions!$C$3)</f>
        <v>100000000</v>
      </c>
      <c r="G6" s="8" t="s">
        <v>249</v>
      </c>
    </row>
    <row r="7" customFormat="false" ht="15" hidden="false" customHeight="false" outlineLevel="0" collapsed="false">
      <c r="A7" s="6" t="s">
        <v>250</v>
      </c>
      <c r="B7" s="12" t="s">
        <v>251</v>
      </c>
      <c r="C7" s="16" t="n">
        <f aca="false">Assumptions!C23*Assumptions!C24</f>
        <v>150000</v>
      </c>
      <c r="D7" s="16" t="n">
        <f aca="false">Assumptions!D23*Assumptions!D24</f>
        <v>450000</v>
      </c>
      <c r="E7" s="16" t="n">
        <f aca="false">Assumptions!E23*Assumptions!E24</f>
        <v>1000000</v>
      </c>
      <c r="F7" s="16" t="n">
        <f aca="false">INDEX(C7:E7,1,Assumptions!$C$3)</f>
        <v>450000</v>
      </c>
      <c r="G7" s="8"/>
    </row>
    <row r="8" customFormat="false" ht="15" hidden="false" customHeight="false" outlineLevel="0" collapsed="false">
      <c r="A8" s="6" t="s">
        <v>252</v>
      </c>
      <c r="B8" s="12" t="s">
        <v>253</v>
      </c>
      <c r="C8" s="16" t="n">
        <f aca="false">Assumptions!C18*Assumptions!C24*Assumptions!C19*Assumptions!C20*Assumptions!C21/12</f>
        <v>50000</v>
      </c>
      <c r="D8" s="16" t="n">
        <f aca="false">Assumptions!D18*Assumptions!D24*Assumptions!D19*Assumptions!D20*Assumptions!D21/12</f>
        <v>675000</v>
      </c>
      <c r="E8" s="16" t="n">
        <f aca="false">Assumptions!E18*Assumptions!E24*Assumptions!E19*Assumptions!E20*Assumptions!E21/12</f>
        <v>5250000</v>
      </c>
      <c r="F8" s="16" t="n">
        <f aca="false">INDEX(C8:E8,1,Assumptions!$C$3)</f>
        <v>675000</v>
      </c>
      <c r="G8" s="8" t="s">
        <v>254</v>
      </c>
    </row>
    <row r="9" customFormat="false" ht="15" hidden="false" customHeight="false" outlineLevel="0" collapsed="false">
      <c r="A9" s="6" t="s">
        <v>255</v>
      </c>
      <c r="B9" s="12" t="s">
        <v>251</v>
      </c>
      <c r="C9" s="16" t="n">
        <f aca="false">Assumptions!C18*Assumptions!C24*Assumptions!C19*Assumptions!C20*Assumptions!C22</f>
        <v>0</v>
      </c>
      <c r="D9" s="16" t="n">
        <f aca="false">Assumptions!D18*Assumptions!D24*Assumptions!D19*Assumptions!D20*Assumptions!D22</f>
        <v>112500</v>
      </c>
      <c r="E9" s="16" t="n">
        <f aca="false">Assumptions!E18*Assumptions!E24*Assumptions!E19*Assumptions!E20*Assumptions!E22</f>
        <v>1312500</v>
      </c>
      <c r="F9" s="16" t="n">
        <f aca="false">INDEX(C9:E9,1,Assumptions!$C$3)</f>
        <v>112500</v>
      </c>
      <c r="G9" s="8" t="s">
        <v>256</v>
      </c>
    </row>
    <row r="10" customFormat="false" ht="15" hidden="false" customHeight="false" outlineLevel="0" collapsed="false">
      <c r="A10" s="6" t="s">
        <v>257</v>
      </c>
      <c r="B10" s="12" t="s">
        <v>251</v>
      </c>
      <c r="C10" s="16" t="n">
        <f aca="false">C7+C8</f>
        <v>200000</v>
      </c>
      <c r="D10" s="16" t="n">
        <f aca="false">D7+D8</f>
        <v>1125000</v>
      </c>
      <c r="E10" s="16" t="n">
        <f aca="false">E7+E8</f>
        <v>6250000</v>
      </c>
      <c r="F10" s="16" t="n">
        <f aca="false">INDEX(C10:E10,1,Assumptions!$C$3)</f>
        <v>1125000</v>
      </c>
      <c r="G10" s="8"/>
    </row>
    <row r="11" customFormat="false" ht="15" hidden="false" customHeight="false" outlineLevel="0" collapsed="false">
      <c r="A11" s="6" t="s">
        <v>258</v>
      </c>
      <c r="B11" s="12" t="s">
        <v>251</v>
      </c>
      <c r="C11" s="16" t="n">
        <f aca="false">C7+C9</f>
        <v>150000</v>
      </c>
      <c r="D11" s="16" t="n">
        <f aca="false">D7+D9</f>
        <v>562500</v>
      </c>
      <c r="E11" s="16" t="n">
        <f aca="false">E7+E9</f>
        <v>2312500</v>
      </c>
      <c r="F11" s="16" t="n">
        <f aca="false">INDEX(C11:E11,1,Assumptions!$C$3)</f>
        <v>562500</v>
      </c>
      <c r="G11" s="8" t="s">
        <v>259</v>
      </c>
    </row>
    <row r="12" customFormat="false" ht="15" hidden="false" customHeight="false" outlineLevel="0" collapsed="false">
      <c r="A12" s="6" t="s">
        <v>260</v>
      </c>
      <c r="B12" s="12" t="s">
        <v>251</v>
      </c>
      <c r="C12" s="16" t="n">
        <f aca="false">Assumptions!C31+Assumptions!C32*12+Assumptions!C29*12*Assumptions!C9</f>
        <v>26400</v>
      </c>
      <c r="D12" s="16" t="n">
        <f aca="false">Assumptions!D31+Assumptions!D32*12+Assumptions!D29*12*Assumptions!D9</f>
        <v>13200</v>
      </c>
      <c r="E12" s="16" t="n">
        <f aca="false">Assumptions!E31+Assumptions!E32*12+Assumptions!E29*12*Assumptions!E9</f>
        <v>6900</v>
      </c>
      <c r="F12" s="16" t="n">
        <f aca="false">INDEX(C12:E12,1,Assumptions!$C$3)</f>
        <v>13200</v>
      </c>
      <c r="G12" s="8"/>
    </row>
    <row r="13" customFormat="false" ht="15" hidden="false" customHeight="false" outlineLevel="0" collapsed="false">
      <c r="A13" s="6" t="s">
        <v>261</v>
      </c>
      <c r="B13" s="12" t="s">
        <v>251</v>
      </c>
      <c r="C13" s="16" t="n">
        <f aca="false">C11-C12</f>
        <v>123600</v>
      </c>
      <c r="D13" s="16" t="n">
        <f aca="false">D11-D12</f>
        <v>549300</v>
      </c>
      <c r="E13" s="16" t="n">
        <f aca="false">E11-E12</f>
        <v>2305600</v>
      </c>
      <c r="F13" s="16" t="n">
        <f aca="false">INDEX(C13:E13,1,Assumptions!$C$3)</f>
        <v>549300</v>
      </c>
      <c r="G13" s="8"/>
    </row>
    <row r="14" customFormat="false" ht="15" hidden="false" customHeight="false" outlineLevel="0" collapsed="false">
      <c r="A14" s="6" t="s">
        <v>262</v>
      </c>
      <c r="B14" s="12" t="s">
        <v>99</v>
      </c>
      <c r="C14" s="23" t="n">
        <f aca="false">IF(C11=0,0,C13/C11)</f>
        <v>0.824</v>
      </c>
      <c r="D14" s="23" t="n">
        <f aca="false">IF(D11=0,0,D13/D11)</f>
        <v>0.976533333333333</v>
      </c>
      <c r="E14" s="23" t="n">
        <f aca="false">IF(E11=0,0,E13/E11)</f>
        <v>0.997016216216216</v>
      </c>
      <c r="F14" s="23" t="n">
        <f aca="false">INDEX(C14:E14,1,Assumptions!$C$3)</f>
        <v>0.976533333333333</v>
      </c>
      <c r="G14" s="8"/>
    </row>
    <row r="15" customFormat="false" ht="15" hidden="false" customHeight="false" outlineLevel="0" collapsed="false">
      <c r="A15" s="6" t="s">
        <v>263</v>
      </c>
      <c r="B15" s="12" t="s">
        <v>264</v>
      </c>
      <c r="C15" s="16" t="n">
        <f aca="false">(Assumptions!C37*Assumptions!C9+Assumptions!C38)/Assumptions!C25+Assumptions!C39/Assumptions!C40</f>
        <v>170000</v>
      </c>
      <c r="D15" s="16" t="n">
        <f aca="false">(Assumptions!D37*Assumptions!D9+Assumptions!D38)/Assumptions!D25+Assumptions!D39/Assumptions!D40</f>
        <v>54000</v>
      </c>
      <c r="E15" s="16" t="n">
        <f aca="false">(Assumptions!E37*Assumptions!E9+Assumptions!E38)/Assumptions!E25+Assumptions!E39/Assumptions!E40</f>
        <v>17000</v>
      </c>
      <c r="F15" s="16" t="n">
        <f aca="false">INDEX(C15:E15,1,Assumptions!$C$3)</f>
        <v>54000</v>
      </c>
      <c r="G15" s="8"/>
    </row>
    <row r="16" customFormat="false" ht="15" hidden="false" customHeight="false" outlineLevel="0" collapsed="false">
      <c r="A16" s="6" t="s">
        <v>265</v>
      </c>
      <c r="B16" s="12" t="s">
        <v>264</v>
      </c>
      <c r="C16" s="16" t="n">
        <f aca="false">Assumptions!C28*Assumptions!C9</f>
        <v>20000</v>
      </c>
      <c r="D16" s="16" t="n">
        <f aca="false">Assumptions!D28*Assumptions!D9</f>
        <v>9600</v>
      </c>
      <c r="E16" s="16" t="n">
        <f aca="false">Assumptions!E28*Assumptions!E9</f>
        <v>5600</v>
      </c>
      <c r="F16" s="16" t="n">
        <f aca="false">INDEX(C16:E16,1,Assumptions!$C$3)</f>
        <v>9600</v>
      </c>
      <c r="G16" s="8"/>
    </row>
    <row r="17" customFormat="false" ht="15" hidden="false" customHeight="false" outlineLevel="0" collapsed="false">
      <c r="A17" s="6" t="s">
        <v>266</v>
      </c>
      <c r="B17" s="12" t="s">
        <v>264</v>
      </c>
      <c r="C17" s="16" t="n">
        <f aca="false">C15+C16</f>
        <v>190000</v>
      </c>
      <c r="D17" s="16" t="n">
        <f aca="false">D15+D16</f>
        <v>63600</v>
      </c>
      <c r="E17" s="16" t="n">
        <f aca="false">E15+E16</f>
        <v>22600</v>
      </c>
      <c r="F17" s="16" t="n">
        <f aca="false">INDEX(C17:E17,1,Assumptions!$C$3)</f>
        <v>63600</v>
      </c>
      <c r="G17" s="8"/>
    </row>
    <row r="18" customFormat="false" ht="15" hidden="false" customHeight="false" outlineLevel="0" collapsed="false">
      <c r="A18" s="6" t="s">
        <v>267</v>
      </c>
      <c r="B18" s="12" t="s">
        <v>87</v>
      </c>
      <c r="C18" s="27" t="n">
        <f aca="false">IF(C13&lt;=0,"n/a (GM&lt;=0)",C17/(C13/12))</f>
        <v>18.4466019417476</v>
      </c>
      <c r="D18" s="27" t="n">
        <f aca="false">IF(D13&lt;=0,"n/a (GM&lt;=0)",D17/(D13/12))</f>
        <v>1.38940469688695</v>
      </c>
      <c r="E18" s="27" t="n">
        <f aca="false">IF(E13&lt;=0,"n/a (GM&lt;=0)",E17/(E13/12))</f>
        <v>0.117626648160999</v>
      </c>
      <c r="F18" s="27" t="n">
        <f aca="false">INDEX(C18:E18,1,Assumptions!$C$3)</f>
        <v>1.38940469688695</v>
      </c>
      <c r="G18" s="8" t="s">
        <v>268</v>
      </c>
    </row>
    <row r="19" customFormat="false" ht="15" hidden="false" customHeight="false" outlineLevel="0" collapsed="false">
      <c r="A19" s="6" t="s">
        <v>269</v>
      </c>
      <c r="B19" s="12" t="s">
        <v>87</v>
      </c>
      <c r="C19" s="27" t="n">
        <f aca="false">IF(C13&lt;=0,"n/a (GM&lt;=0)",MAX(0,C17-C8)/(C13/12))</f>
        <v>13.5922330097087</v>
      </c>
      <c r="D19" s="27" t="n">
        <f aca="false">IF(D13&lt;=0,"n/a (GM&lt;=0)",MAX(0,D17-D8)/(D13/12))</f>
        <v>0</v>
      </c>
      <c r="E19" s="27" t="n">
        <f aca="false">IF(E13&lt;=0,"n/a (GM&lt;=0)",MAX(0,E17-E8)/(E13/12))</f>
        <v>0</v>
      </c>
      <c r="F19" s="27" t="n">
        <f aca="false">INDEX(C19:E19,1,Assumptions!$C$3)</f>
        <v>0</v>
      </c>
      <c r="G19" s="8" t="s">
        <v>270</v>
      </c>
    </row>
    <row r="20" customFormat="false" ht="15" hidden="false" customHeight="false" outlineLevel="0" collapsed="false">
      <c r="A20" s="6" t="s">
        <v>271</v>
      </c>
      <c r="B20" s="12" t="s">
        <v>272</v>
      </c>
      <c r="C20" s="27" t="n">
        <f aca="false">IF(Assumptions!C27=0,0,1/Assumptions!C27)</f>
        <v>4</v>
      </c>
      <c r="D20" s="27" t="n">
        <f aca="false">IF(Assumptions!D27=0,0,1/Assumptions!D27)</f>
        <v>6.66666666666667</v>
      </c>
      <c r="E20" s="27" t="n">
        <f aca="false">IF(Assumptions!E27=0,0,1/Assumptions!E27)</f>
        <v>10</v>
      </c>
      <c r="F20" s="27" t="n">
        <f aca="false">INDEX(C20:E20,1,Assumptions!$C$3)</f>
        <v>6.66666666666667</v>
      </c>
      <c r="G20" s="8"/>
    </row>
    <row r="21" customFormat="false" ht="15" hidden="false" customHeight="false" outlineLevel="0" collapsed="false">
      <c r="A21" s="6" t="s">
        <v>273</v>
      </c>
      <c r="B21" s="12" t="s">
        <v>264</v>
      </c>
      <c r="C21" s="16" t="n">
        <f aca="false">C8+C13*C20</f>
        <v>544400</v>
      </c>
      <c r="D21" s="16" t="n">
        <f aca="false">D8+D13*D20</f>
        <v>4337000</v>
      </c>
      <c r="E21" s="16" t="n">
        <f aca="false">E8+E13*E20</f>
        <v>28306000</v>
      </c>
      <c r="F21" s="16" t="n">
        <f aca="false">INDEX(C21:E21,1,Assumptions!$C$3)</f>
        <v>4337000</v>
      </c>
      <c r="G21" s="8"/>
    </row>
    <row r="22" customFormat="false" ht="15" hidden="false" customHeight="false" outlineLevel="0" collapsed="false">
      <c r="A22" s="6" t="s">
        <v>274</v>
      </c>
      <c r="B22" s="12" t="s">
        <v>275</v>
      </c>
      <c r="C22" s="31" t="n">
        <f aca="false">IF(C17=0,0,C21/C17)</f>
        <v>2.86526315789474</v>
      </c>
      <c r="D22" s="31" t="n">
        <f aca="false">IF(D17=0,0,D21/D17)</f>
        <v>68.1918238993711</v>
      </c>
      <c r="E22" s="31" t="n">
        <f aca="false">IF(E17=0,0,E21/E17)</f>
        <v>1252.47787610619</v>
      </c>
      <c r="F22" s="31" t="n">
        <f aca="false">INDEX(C22:E22,1,Assumptions!$C$3)</f>
        <v>68.1918238993711</v>
      </c>
      <c r="G22" s="8"/>
    </row>
    <row r="23" customFormat="false" ht="15" hidden="false" customHeight="false" outlineLevel="0" collapsed="false">
      <c r="A23" s="6" t="s">
        <v>276</v>
      </c>
      <c r="B23" s="12" t="s">
        <v>264</v>
      </c>
      <c r="C23" s="16" t="n">
        <f aca="false">C11*Assumptions!C41/365</f>
        <v>24657.5342465753</v>
      </c>
      <c r="D23" s="16" t="n">
        <f aca="false">D11*Assumptions!D41/365</f>
        <v>69349.3150684932</v>
      </c>
      <c r="E23" s="16" t="n">
        <f aca="false">E11*Assumptions!E41/365</f>
        <v>190068.493150685</v>
      </c>
      <c r="F23" s="16" t="n">
        <f aca="false">INDEX(C23:E23,1,Assumptions!$C$3)</f>
        <v>69349.3150684932</v>
      </c>
      <c r="G23" s="8"/>
    </row>
    <row r="25" customFormat="false" ht="15" hidden="false" customHeight="false" outlineLevel="0" collapsed="false">
      <c r="A25" s="10" t="s">
        <v>277</v>
      </c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6" t="s">
        <v>278</v>
      </c>
      <c r="B26" s="12" t="s">
        <v>251</v>
      </c>
      <c r="C26" s="16" t="n">
        <f aca="false">Assumptions!C45</f>
        <v>300000</v>
      </c>
      <c r="D26" s="16" t="n">
        <f aca="false">Assumptions!D45</f>
        <v>500000</v>
      </c>
      <c r="E26" s="16" t="n">
        <f aca="false">Assumptions!E45</f>
        <v>1000000</v>
      </c>
      <c r="F26" s="16" t="n">
        <f aca="false">INDEX(C26:E26,1,Assumptions!$C$3)</f>
        <v>500000</v>
      </c>
      <c r="G26" s="8"/>
    </row>
    <row r="27" customFormat="false" ht="15" hidden="false" customHeight="false" outlineLevel="0" collapsed="false">
      <c r="A27" s="6" t="s">
        <v>279</v>
      </c>
      <c r="B27" s="12" t="s">
        <v>251</v>
      </c>
      <c r="C27" s="16" t="n">
        <f aca="false">Assumptions!C46*Assumptions!C47</f>
        <v>0</v>
      </c>
      <c r="D27" s="16" t="n">
        <f aca="false">Assumptions!D46*Assumptions!D47</f>
        <v>100000</v>
      </c>
      <c r="E27" s="16" t="n">
        <f aca="false">Assumptions!E46*Assumptions!E47</f>
        <v>400000</v>
      </c>
      <c r="F27" s="16" t="n">
        <f aca="false">INDEX(C27:E27,1,Assumptions!$C$3)</f>
        <v>100000</v>
      </c>
      <c r="G27" s="8"/>
    </row>
    <row r="28" customFormat="false" ht="15" hidden="false" customHeight="false" outlineLevel="0" collapsed="false">
      <c r="A28" s="6" t="s">
        <v>280</v>
      </c>
      <c r="B28" s="12" t="s">
        <v>253</v>
      </c>
      <c r="C28" s="16" t="n">
        <f aca="false">0</f>
        <v>0</v>
      </c>
      <c r="D28" s="16" t="n">
        <f aca="false">0</f>
        <v>0</v>
      </c>
      <c r="E28" s="16" t="n">
        <f aca="false">0</f>
        <v>0</v>
      </c>
      <c r="F28" s="16" t="n">
        <f aca="false">INDEX(C28:E28,1,Assumptions!$C$3)</f>
        <v>0</v>
      </c>
      <c r="G28" s="8" t="s">
        <v>281</v>
      </c>
    </row>
    <row r="29" customFormat="false" ht="15" hidden="false" customHeight="false" outlineLevel="0" collapsed="false">
      <c r="A29" s="6" t="s">
        <v>282</v>
      </c>
      <c r="B29" s="12" t="s">
        <v>251</v>
      </c>
      <c r="C29" s="16" t="n">
        <f aca="false">C26+C27</f>
        <v>300000</v>
      </c>
      <c r="D29" s="16" t="n">
        <f aca="false">D26+D27</f>
        <v>600000</v>
      </c>
      <c r="E29" s="16" t="n">
        <f aca="false">E26+E27</f>
        <v>1400000</v>
      </c>
      <c r="F29" s="16" t="n">
        <f aca="false">INDEX(C29:E29,1,Assumptions!$C$3)</f>
        <v>600000</v>
      </c>
      <c r="G29" s="8" t="s">
        <v>283</v>
      </c>
    </row>
    <row r="30" customFormat="false" ht="15" hidden="false" customHeight="false" outlineLevel="0" collapsed="false">
      <c r="A30" s="6" t="s">
        <v>284</v>
      </c>
      <c r="B30" s="12" t="s">
        <v>120</v>
      </c>
      <c r="C30" s="32" t="n">
        <f aca="false">Assumptions!C53</f>
        <v>0</v>
      </c>
      <c r="D30" s="32" t="n">
        <f aca="false">Assumptions!D53</f>
        <v>1</v>
      </c>
      <c r="E30" s="32" t="n">
        <f aca="false">Assumptions!E53</f>
        <v>1</v>
      </c>
      <c r="F30" s="14" t="n">
        <f aca="false">INDEX(C30:E30,1,Assumptions!$C$3)</f>
        <v>1</v>
      </c>
      <c r="G30" s="8" t="s">
        <v>285</v>
      </c>
    </row>
    <row r="31" customFormat="false" ht="15" hidden="false" customHeight="false" outlineLevel="0" collapsed="false">
      <c r="A31" s="6" t="s">
        <v>286</v>
      </c>
      <c r="B31" s="12" t="s">
        <v>251</v>
      </c>
      <c r="C31" s="16" t="n">
        <f aca="false">C29*C30</f>
        <v>0</v>
      </c>
      <c r="D31" s="16" t="n">
        <f aca="false">D29*D30</f>
        <v>600000</v>
      </c>
      <c r="E31" s="16" t="n">
        <f aca="false">E29*E30</f>
        <v>1400000</v>
      </c>
      <c r="F31" s="16" t="n">
        <f aca="false">INDEX(C31:E31,1,Assumptions!$C$3)</f>
        <v>600000</v>
      </c>
      <c r="G31" s="8"/>
    </row>
    <row r="32" customFormat="false" ht="15" hidden="false" customHeight="false" outlineLevel="0" collapsed="false">
      <c r="A32" s="6" t="s">
        <v>260</v>
      </c>
      <c r="B32" s="12" t="s">
        <v>251</v>
      </c>
      <c r="C32" s="16" t="n">
        <f aca="false">Assumptions!C55+Assumptions!C56*12+Assumptions!C52*12*Assumptions!C9</f>
        <v>19200</v>
      </c>
      <c r="D32" s="16" t="n">
        <f aca="false">Assumptions!D55+Assumptions!D56*12+Assumptions!D52*12*Assumptions!D9</f>
        <v>10200</v>
      </c>
      <c r="E32" s="16" t="n">
        <f aca="false">Assumptions!E55+Assumptions!E56*12+Assumptions!E52*12*Assumptions!E9</f>
        <v>4500</v>
      </c>
      <c r="F32" s="16" t="n">
        <f aca="false">INDEX(C32:E32,1,Assumptions!$C$3)</f>
        <v>10200</v>
      </c>
      <c r="G32" s="8"/>
    </row>
    <row r="33" customFormat="false" ht="15" hidden="false" customHeight="false" outlineLevel="0" collapsed="false">
      <c r="A33" s="6" t="s">
        <v>261</v>
      </c>
      <c r="B33" s="12" t="s">
        <v>251</v>
      </c>
      <c r="C33" s="16" t="n">
        <f aca="false">C29-C32</f>
        <v>280800</v>
      </c>
      <c r="D33" s="16" t="n">
        <f aca="false">D29-D32</f>
        <v>589800</v>
      </c>
      <c r="E33" s="16" t="n">
        <f aca="false">E29-E32</f>
        <v>1395500</v>
      </c>
      <c r="F33" s="16" t="n">
        <f aca="false">INDEX(C33:E33,1,Assumptions!$C$3)</f>
        <v>589800</v>
      </c>
      <c r="G33" s="8"/>
    </row>
    <row r="34" customFormat="false" ht="15" hidden="false" customHeight="false" outlineLevel="0" collapsed="false">
      <c r="A34" s="6" t="s">
        <v>262</v>
      </c>
      <c r="B34" s="12" t="s">
        <v>99</v>
      </c>
      <c r="C34" s="23" t="n">
        <f aca="false">IF(C29=0,0,C33/C29)</f>
        <v>0.936</v>
      </c>
      <c r="D34" s="23" t="n">
        <f aca="false">IF(D29=0,0,D33/D29)</f>
        <v>0.983</v>
      </c>
      <c r="E34" s="23" t="n">
        <f aca="false">IF(E29=0,0,E33/E29)</f>
        <v>0.996785714285714</v>
      </c>
      <c r="F34" s="23" t="n">
        <f aca="false">INDEX(C34:E34,1,Assumptions!$C$3)</f>
        <v>0.983</v>
      </c>
      <c r="G34" s="8"/>
    </row>
    <row r="35" customFormat="false" ht="15" hidden="false" customHeight="false" outlineLevel="0" collapsed="false">
      <c r="A35" s="6" t="s">
        <v>263</v>
      </c>
      <c r="B35" s="12" t="s">
        <v>264</v>
      </c>
      <c r="C35" s="16" t="n">
        <f aca="false">(Assumptions!C61*Assumptions!C9+Assumptions!C62)/Assumptions!C48+Assumptions!C63/Assumptions!C64</f>
        <v>450000</v>
      </c>
      <c r="D35" s="16" t="n">
        <f aca="false">(Assumptions!D61*Assumptions!D9+Assumptions!D62)/Assumptions!D48+Assumptions!D63/Assumptions!D64</f>
        <v>150750</v>
      </c>
      <c r="E35" s="16" t="n">
        <f aca="false">(Assumptions!E61*Assumptions!E9+Assumptions!E62)/Assumptions!E48+Assumptions!E63/Assumptions!E64</f>
        <v>60666.6666666667</v>
      </c>
      <c r="F35" s="16" t="n">
        <f aca="false">INDEX(C35:E35,1,Assumptions!$C$3)</f>
        <v>150750</v>
      </c>
      <c r="G35" s="8"/>
    </row>
    <row r="36" customFormat="false" ht="15" hidden="false" customHeight="false" outlineLevel="0" collapsed="false">
      <c r="A36" s="6" t="s">
        <v>265</v>
      </c>
      <c r="B36" s="12" t="s">
        <v>264</v>
      </c>
      <c r="C36" s="16" t="n">
        <f aca="false">Assumptions!C51*Assumptions!C9</f>
        <v>8000</v>
      </c>
      <c r="D36" s="16" t="n">
        <f aca="false">Assumptions!D51*Assumptions!D9</f>
        <v>3200</v>
      </c>
      <c r="E36" s="16" t="n">
        <f aca="false">Assumptions!E51*Assumptions!E9</f>
        <v>2100</v>
      </c>
      <c r="F36" s="16" t="n">
        <f aca="false">INDEX(C36:E36,1,Assumptions!$C$3)</f>
        <v>3200</v>
      </c>
      <c r="G36" s="8"/>
    </row>
    <row r="37" customFormat="false" ht="15" hidden="false" customHeight="false" outlineLevel="0" collapsed="false">
      <c r="A37" s="6" t="s">
        <v>266</v>
      </c>
      <c r="B37" s="12" t="s">
        <v>264</v>
      </c>
      <c r="C37" s="16" t="n">
        <f aca="false">C35+C36</f>
        <v>458000</v>
      </c>
      <c r="D37" s="16" t="n">
        <f aca="false">D35+D36</f>
        <v>153950</v>
      </c>
      <c r="E37" s="16" t="n">
        <f aca="false">E35+E36</f>
        <v>62766.6666666667</v>
      </c>
      <c r="F37" s="16" t="n">
        <f aca="false">INDEX(C37:E37,1,Assumptions!$C$3)</f>
        <v>153950</v>
      </c>
      <c r="G37" s="8"/>
    </row>
    <row r="38" customFormat="false" ht="15" hidden="false" customHeight="false" outlineLevel="0" collapsed="false">
      <c r="A38" s="6" t="s">
        <v>267</v>
      </c>
      <c r="B38" s="12" t="s">
        <v>87</v>
      </c>
      <c r="C38" s="27" t="n">
        <f aca="false">IF(C33&lt;=0,"n/a (GM&lt;=0)",C37/(C33/12))</f>
        <v>19.5726495726496</v>
      </c>
      <c r="D38" s="27" t="n">
        <f aca="false">IF(D33&lt;=0,"n/a (GM&lt;=0)",D37/(D33/12))</f>
        <v>3.1322482197355</v>
      </c>
      <c r="E38" s="27" t="n">
        <f aca="false">IF(E33&lt;=0,"n/a (GM&lt;=0)",E37/(E33/12))</f>
        <v>0.539734862056611</v>
      </c>
      <c r="F38" s="27" t="n">
        <f aca="false">INDEX(C38:E38,1,Assumptions!$C$3)</f>
        <v>3.1322482197355</v>
      </c>
      <c r="G38" s="8" t="s">
        <v>268</v>
      </c>
    </row>
    <row r="39" customFormat="false" ht="15" hidden="false" customHeight="false" outlineLevel="0" collapsed="false">
      <c r="A39" s="6" t="s">
        <v>269</v>
      </c>
      <c r="B39" s="12" t="s">
        <v>87</v>
      </c>
      <c r="C39" s="27" t="n">
        <f aca="false">IF(C33&lt;=0,"n/a (GM&lt;=0)",MAX(0,C37-C28)/(C33/12))</f>
        <v>19.5726495726496</v>
      </c>
      <c r="D39" s="27" t="n">
        <f aca="false">IF(D33&lt;=0,"n/a (GM&lt;=0)",MAX(0,D37-D28)/(D33/12))</f>
        <v>3.1322482197355</v>
      </c>
      <c r="E39" s="27" t="n">
        <f aca="false">IF(E33&lt;=0,"n/a (GM&lt;=0)",MAX(0,E37-E28)/(E33/12))</f>
        <v>0.539734862056611</v>
      </c>
      <c r="F39" s="27" t="n">
        <f aca="false">INDEX(C39:E39,1,Assumptions!$C$3)</f>
        <v>3.1322482197355</v>
      </c>
      <c r="G39" s="8" t="s">
        <v>270</v>
      </c>
    </row>
    <row r="40" customFormat="false" ht="15" hidden="false" customHeight="false" outlineLevel="0" collapsed="false">
      <c r="A40" s="6" t="s">
        <v>271</v>
      </c>
      <c r="B40" s="12" t="s">
        <v>272</v>
      </c>
      <c r="C40" s="27" t="n">
        <f aca="false">IF(Assumptions!C50=0,0,1/Assumptions!C50)</f>
        <v>3.33333333333333</v>
      </c>
      <c r="D40" s="27" t="n">
        <f aca="false">IF(Assumptions!D50=0,0,1/Assumptions!D50)</f>
        <v>5</v>
      </c>
      <c r="E40" s="27" t="n">
        <f aca="false">IF(Assumptions!E50=0,0,1/Assumptions!E50)</f>
        <v>6.66666666666667</v>
      </c>
      <c r="F40" s="27" t="n">
        <f aca="false">INDEX(C40:E40,1,Assumptions!$C$3)</f>
        <v>5</v>
      </c>
      <c r="G40" s="8"/>
    </row>
    <row r="41" customFormat="false" ht="15" hidden="false" customHeight="false" outlineLevel="0" collapsed="false">
      <c r="A41" s="6" t="s">
        <v>273</v>
      </c>
      <c r="B41" s="12" t="s">
        <v>264</v>
      </c>
      <c r="C41" s="16" t="n">
        <f aca="false">C28+C33*C40</f>
        <v>936000</v>
      </c>
      <c r="D41" s="16" t="n">
        <f aca="false">D28+D33*D40</f>
        <v>2949000</v>
      </c>
      <c r="E41" s="16" t="n">
        <f aca="false">E28+E33*E40</f>
        <v>9303333.33333333</v>
      </c>
      <c r="F41" s="16" t="n">
        <f aca="false">INDEX(C41:E41,1,Assumptions!$C$3)</f>
        <v>2949000</v>
      </c>
      <c r="G41" s="8"/>
    </row>
    <row r="42" customFormat="false" ht="15" hidden="false" customHeight="false" outlineLevel="0" collapsed="false">
      <c r="A42" s="6" t="s">
        <v>274</v>
      </c>
      <c r="B42" s="12" t="s">
        <v>275</v>
      </c>
      <c r="C42" s="31" t="n">
        <f aca="false">IF(C37=0,0,C41/C37)</f>
        <v>2.04366812227074</v>
      </c>
      <c r="D42" s="31" t="n">
        <f aca="false">IF(D37=0,0,D41/D37)</f>
        <v>19.1555699902566</v>
      </c>
      <c r="E42" s="31" t="n">
        <f aca="false">IF(E37=0,0,E41/E37)</f>
        <v>148.220924057355</v>
      </c>
      <c r="F42" s="31" t="n">
        <f aca="false">INDEX(C42:E42,1,Assumptions!$C$3)</f>
        <v>19.1555699902566</v>
      </c>
      <c r="G42" s="8"/>
    </row>
    <row r="43" customFormat="false" ht="15" hidden="false" customHeight="false" outlineLevel="0" collapsed="false">
      <c r="A43" s="6" t="s">
        <v>276</v>
      </c>
      <c r="B43" s="12" t="s">
        <v>264</v>
      </c>
      <c r="C43" s="16" t="n">
        <f aca="false">C29*Assumptions!C65/365</f>
        <v>73972.602739726</v>
      </c>
      <c r="D43" s="16" t="n">
        <f aca="false">D29*Assumptions!D65/365</f>
        <v>98630.1369863014</v>
      </c>
      <c r="E43" s="16" t="n">
        <f aca="false">E29*Assumptions!E65/365</f>
        <v>172602.739726027</v>
      </c>
      <c r="F43" s="16" t="n">
        <f aca="false">INDEX(C43:E43,1,Assumptions!$C$3)</f>
        <v>98630.1369863014</v>
      </c>
      <c r="G43" s="8"/>
    </row>
    <row r="45" customFormat="false" ht="15" hidden="false" customHeight="false" outlineLevel="0" collapsed="false">
      <c r="A45" s="10" t="s">
        <v>287</v>
      </c>
      <c r="B45" s="11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6" t="s">
        <v>288</v>
      </c>
      <c r="B46" s="12" t="s">
        <v>251</v>
      </c>
      <c r="C46" s="16" t="n">
        <f aca="false">Assumptions!C68*Assumptions!C69*12</f>
        <v>2400000</v>
      </c>
      <c r="D46" s="16" t="n">
        <f aca="false">Assumptions!D68*Assumptions!D69*12</f>
        <v>9000000</v>
      </c>
      <c r="E46" s="16" t="n">
        <f aca="false">Assumptions!E68*Assumptions!E69*12</f>
        <v>24000000</v>
      </c>
      <c r="F46" s="16" t="n">
        <f aca="false">INDEX(C46:E46,1,Assumptions!$C$3)</f>
        <v>9000000</v>
      </c>
      <c r="G46" s="8"/>
    </row>
    <row r="47" customFormat="false" ht="15" hidden="false" customHeight="false" outlineLevel="0" collapsed="false">
      <c r="A47" s="6" t="s">
        <v>289</v>
      </c>
      <c r="B47" s="12" t="s">
        <v>251</v>
      </c>
      <c r="C47" s="16" t="n">
        <f aca="false">Assumptions!C69*Assumptions!C70*Assumptions!C71*Assumptions!C72*Assumptions!C73</f>
        <v>0</v>
      </c>
      <c r="D47" s="16" t="n">
        <f aca="false">Assumptions!D69*Assumptions!D70*Assumptions!D71*Assumptions!D72*Assumptions!D73</f>
        <v>1500000</v>
      </c>
      <c r="E47" s="16" t="n">
        <f aca="false">Assumptions!E69*Assumptions!E70*Assumptions!E71*Assumptions!E72*Assumptions!E73</f>
        <v>13824000</v>
      </c>
      <c r="F47" s="16" t="n">
        <f aca="false">INDEX(C47:E47,1,Assumptions!$C$3)</f>
        <v>1500000</v>
      </c>
      <c r="G47" s="8" t="s">
        <v>290</v>
      </c>
    </row>
    <row r="48" customFormat="false" ht="15" hidden="false" customHeight="false" outlineLevel="0" collapsed="false">
      <c r="A48" s="6" t="s">
        <v>280</v>
      </c>
      <c r="B48" s="12" t="s">
        <v>253</v>
      </c>
      <c r="C48" s="16" t="n">
        <f aca="false">0</f>
        <v>0</v>
      </c>
      <c r="D48" s="16" t="n">
        <f aca="false">0</f>
        <v>0</v>
      </c>
      <c r="E48" s="16" t="n">
        <f aca="false">0</f>
        <v>0</v>
      </c>
      <c r="F48" s="16" t="n">
        <f aca="false">INDEX(C48:E48,1,Assumptions!$C$3)</f>
        <v>0</v>
      </c>
      <c r="G48" s="8" t="s">
        <v>291</v>
      </c>
    </row>
    <row r="49" customFormat="false" ht="15" hidden="false" customHeight="false" outlineLevel="0" collapsed="false">
      <c r="A49" s="6" t="s">
        <v>282</v>
      </c>
      <c r="B49" s="12" t="s">
        <v>251</v>
      </c>
      <c r="C49" s="16" t="n">
        <f aca="false">C46+C47</f>
        <v>2400000</v>
      </c>
      <c r="D49" s="16" t="n">
        <f aca="false">D46+D47</f>
        <v>10500000</v>
      </c>
      <c r="E49" s="16" t="n">
        <f aca="false">E46+E47</f>
        <v>37824000</v>
      </c>
      <c r="F49" s="16" t="n">
        <f aca="false">INDEX(C49:E49,1,Assumptions!$C$3)</f>
        <v>10500000</v>
      </c>
      <c r="G49" s="8" t="s">
        <v>259</v>
      </c>
    </row>
    <row r="50" customFormat="false" ht="15" hidden="false" customHeight="false" outlineLevel="0" collapsed="false">
      <c r="A50" s="6" t="s">
        <v>292</v>
      </c>
      <c r="B50" s="12" t="s">
        <v>99</v>
      </c>
      <c r="C50" s="23" t="n">
        <f aca="false">Assumptions!C68/240000</f>
        <v>0.00833333333333333</v>
      </c>
      <c r="D50" s="23" t="n">
        <f aca="false">Assumptions!D68/240000</f>
        <v>0.0125</v>
      </c>
      <c r="E50" s="23" t="n">
        <f aca="false">Assumptions!E68/240000</f>
        <v>0.0208333333333333</v>
      </c>
      <c r="F50" s="23" t="n">
        <f aca="false">INDEX(C50:E50,1,Assumptions!$C$3)</f>
        <v>0.0125</v>
      </c>
      <c r="G50" s="8" t="s">
        <v>293</v>
      </c>
    </row>
    <row r="51" customFormat="false" ht="15" hidden="false" customHeight="false" outlineLevel="0" collapsed="false">
      <c r="A51" s="6" t="s">
        <v>260</v>
      </c>
      <c r="B51" s="12" t="s">
        <v>251</v>
      </c>
      <c r="C51" s="16" t="n">
        <f aca="false">Assumptions!C80+Assumptions!C81*12+Assumptions!C78*12*Assumptions!C9</f>
        <v>84000</v>
      </c>
      <c r="D51" s="16" t="n">
        <f aca="false">Assumptions!D80+Assumptions!D81*12+Assumptions!D78*12*Assumptions!D9</f>
        <v>44400</v>
      </c>
      <c r="E51" s="16" t="n">
        <f aca="false">Assumptions!E80+Assumptions!E81*12+Assumptions!E78*12*Assumptions!E9</f>
        <v>24600</v>
      </c>
      <c r="F51" s="16" t="n">
        <f aca="false">INDEX(C51:E51,1,Assumptions!$C$3)</f>
        <v>44400</v>
      </c>
      <c r="G51" s="8"/>
    </row>
    <row r="52" customFormat="false" ht="15" hidden="false" customHeight="false" outlineLevel="0" collapsed="false">
      <c r="A52" s="6" t="s">
        <v>261</v>
      </c>
      <c r="B52" s="12" t="s">
        <v>251</v>
      </c>
      <c r="C52" s="16" t="n">
        <f aca="false">C49-C51</f>
        <v>2316000</v>
      </c>
      <c r="D52" s="16" t="n">
        <f aca="false">D49-D51</f>
        <v>10455600</v>
      </c>
      <c r="E52" s="16" t="n">
        <f aca="false">E49-E51</f>
        <v>37799400</v>
      </c>
      <c r="F52" s="16" t="n">
        <f aca="false">INDEX(C52:E52,1,Assumptions!$C$3)</f>
        <v>10455600</v>
      </c>
      <c r="G52" s="8"/>
    </row>
    <row r="53" customFormat="false" ht="15" hidden="false" customHeight="false" outlineLevel="0" collapsed="false">
      <c r="A53" s="6" t="s">
        <v>262</v>
      </c>
      <c r="B53" s="12" t="s">
        <v>99</v>
      </c>
      <c r="C53" s="23" t="n">
        <f aca="false">IF(C49=0,0,C52/C49)</f>
        <v>0.965</v>
      </c>
      <c r="D53" s="23" t="n">
        <f aca="false">IF(D49=0,0,D52/D49)</f>
        <v>0.995771428571429</v>
      </c>
      <c r="E53" s="23" t="n">
        <f aca="false">IF(E49=0,0,E52/E49)</f>
        <v>0.99934961928934</v>
      </c>
      <c r="F53" s="23" t="n">
        <f aca="false">INDEX(C53:E53,1,Assumptions!$C$3)</f>
        <v>0.995771428571429</v>
      </c>
      <c r="G53" s="8"/>
    </row>
    <row r="54" customFormat="false" ht="15" hidden="false" customHeight="false" outlineLevel="0" collapsed="false">
      <c r="A54" s="6" t="s">
        <v>263</v>
      </c>
      <c r="B54" s="12" t="s">
        <v>264</v>
      </c>
      <c r="C54" s="16" t="n">
        <f aca="false">(Assumptions!C86*Assumptions!C9+Assumptions!C87)/Assumptions!C74+Assumptions!C88/Assumptions!C89</f>
        <v>850000</v>
      </c>
      <c r="D54" s="16" t="n">
        <f aca="false">(Assumptions!D86*Assumptions!D9+Assumptions!D87)/Assumptions!D74+Assumptions!D88/Assumptions!D89</f>
        <v>300000</v>
      </c>
      <c r="E54" s="16" t="n">
        <f aca="false">(Assumptions!E86*Assumptions!E9+Assumptions!E87)/Assumptions!E74+Assumptions!E88/Assumptions!E89</f>
        <v>107500</v>
      </c>
      <c r="F54" s="16" t="n">
        <f aca="false">INDEX(C54:E54,1,Assumptions!$C$3)</f>
        <v>300000</v>
      </c>
      <c r="G54" s="8"/>
    </row>
    <row r="55" customFormat="false" ht="15" hidden="false" customHeight="false" outlineLevel="0" collapsed="false">
      <c r="A55" s="6" t="s">
        <v>265</v>
      </c>
      <c r="B55" s="12" t="s">
        <v>264</v>
      </c>
      <c r="C55" s="16" t="n">
        <f aca="false">Assumptions!C77*Assumptions!C9</f>
        <v>60000</v>
      </c>
      <c r="D55" s="16" t="n">
        <f aca="false">Assumptions!D77*Assumptions!D9</f>
        <v>32000</v>
      </c>
      <c r="E55" s="16" t="n">
        <f aca="false">Assumptions!E77*Assumptions!E9</f>
        <v>21000</v>
      </c>
      <c r="F55" s="16" t="n">
        <f aca="false">INDEX(C55:E55,1,Assumptions!$C$3)</f>
        <v>32000</v>
      </c>
      <c r="G55" s="8"/>
    </row>
    <row r="56" customFormat="false" ht="15" hidden="false" customHeight="false" outlineLevel="0" collapsed="false">
      <c r="A56" s="6" t="s">
        <v>266</v>
      </c>
      <c r="B56" s="12" t="s">
        <v>264</v>
      </c>
      <c r="C56" s="16" t="n">
        <f aca="false">C54+C55</f>
        <v>910000</v>
      </c>
      <c r="D56" s="16" t="n">
        <f aca="false">D54+D55</f>
        <v>332000</v>
      </c>
      <c r="E56" s="16" t="n">
        <f aca="false">E54+E55</f>
        <v>128500</v>
      </c>
      <c r="F56" s="16" t="n">
        <f aca="false">INDEX(C56:E56,1,Assumptions!$C$3)</f>
        <v>332000</v>
      </c>
      <c r="G56" s="8"/>
    </row>
    <row r="57" customFormat="false" ht="15" hidden="false" customHeight="false" outlineLevel="0" collapsed="false">
      <c r="A57" s="6" t="s">
        <v>267</v>
      </c>
      <c r="B57" s="12" t="s">
        <v>87</v>
      </c>
      <c r="C57" s="27" t="n">
        <f aca="false">IF(C52&lt;=0,"n/a (GM&lt;=0)",C56/(C52/12))</f>
        <v>4.71502590673575</v>
      </c>
      <c r="D57" s="27" t="n">
        <f aca="false">IF(D52&lt;=0,"n/a (GM&lt;=0)",D56/(D52/12))</f>
        <v>0.381039825548032</v>
      </c>
      <c r="E57" s="27" t="n">
        <f aca="false">IF(E52&lt;=0,"n/a (GM&lt;=0)",E56/(E52/12))</f>
        <v>0.0407942983221956</v>
      </c>
      <c r="F57" s="27" t="n">
        <f aca="false">INDEX(C57:E57,1,Assumptions!$C$3)</f>
        <v>0.381039825548032</v>
      </c>
      <c r="G57" s="8" t="s">
        <v>268</v>
      </c>
    </row>
    <row r="58" customFormat="false" ht="15" hidden="false" customHeight="false" outlineLevel="0" collapsed="false">
      <c r="A58" s="6" t="s">
        <v>269</v>
      </c>
      <c r="B58" s="12" t="s">
        <v>87</v>
      </c>
      <c r="C58" s="27" t="n">
        <f aca="false">IF(C52&lt;=0,"n/a (GM&lt;=0)",MAX(0,C56-C48)/(C52/12))</f>
        <v>4.71502590673575</v>
      </c>
      <c r="D58" s="27" t="n">
        <f aca="false">IF(D52&lt;=0,"n/a (GM&lt;=0)",MAX(0,D56-D48)/(D52/12))</f>
        <v>0.381039825548032</v>
      </c>
      <c r="E58" s="27" t="n">
        <f aca="false">IF(E52&lt;=0,"n/a (GM&lt;=0)",MAX(0,E56-E48)/(E52/12))</f>
        <v>0.0407942983221956</v>
      </c>
      <c r="F58" s="27" t="n">
        <f aca="false">INDEX(C58:E58,1,Assumptions!$C$3)</f>
        <v>0.381039825548032</v>
      </c>
      <c r="G58" s="8" t="s">
        <v>270</v>
      </c>
    </row>
    <row r="59" customFormat="false" ht="15" hidden="false" customHeight="false" outlineLevel="0" collapsed="false">
      <c r="A59" s="6" t="s">
        <v>271</v>
      </c>
      <c r="B59" s="12" t="s">
        <v>272</v>
      </c>
      <c r="C59" s="27" t="n">
        <f aca="false">IF(Assumptions!C76=0,0,1/Assumptions!C76)</f>
        <v>5</v>
      </c>
      <c r="D59" s="27" t="n">
        <f aca="false">IF(Assumptions!D76=0,0,1/Assumptions!D76)</f>
        <v>6.66666666666667</v>
      </c>
      <c r="E59" s="27" t="n">
        <f aca="false">IF(Assumptions!E76=0,0,1/Assumptions!E76)</f>
        <v>10</v>
      </c>
      <c r="F59" s="27" t="n">
        <f aca="false">INDEX(C59:E59,1,Assumptions!$C$3)</f>
        <v>6.66666666666667</v>
      </c>
      <c r="G59" s="8"/>
    </row>
    <row r="60" customFormat="false" ht="15" hidden="false" customHeight="false" outlineLevel="0" collapsed="false">
      <c r="A60" s="6" t="s">
        <v>273</v>
      </c>
      <c r="B60" s="12" t="s">
        <v>264</v>
      </c>
      <c r="C60" s="16" t="n">
        <f aca="false">C48+C52*C59</f>
        <v>11580000</v>
      </c>
      <c r="D60" s="16" t="n">
        <f aca="false">D48+D52*D59</f>
        <v>69704000</v>
      </c>
      <c r="E60" s="16" t="n">
        <f aca="false">E48+E52*E59</f>
        <v>377994000</v>
      </c>
      <c r="F60" s="16" t="n">
        <f aca="false">INDEX(C60:E60,1,Assumptions!$C$3)</f>
        <v>69704000</v>
      </c>
      <c r="G60" s="8"/>
    </row>
    <row r="61" customFormat="false" ht="15" hidden="false" customHeight="false" outlineLevel="0" collapsed="false">
      <c r="A61" s="6" t="s">
        <v>274</v>
      </c>
      <c r="B61" s="12" t="s">
        <v>275</v>
      </c>
      <c r="C61" s="31" t="n">
        <f aca="false">IF(C56=0,0,C60/C56)</f>
        <v>12.7252747252747</v>
      </c>
      <c r="D61" s="31" t="n">
        <f aca="false">IF(D56=0,0,D60/D56)</f>
        <v>209.951807228916</v>
      </c>
      <c r="E61" s="31" t="n">
        <f aca="false">IF(E56=0,0,E60/E56)</f>
        <v>2941.58754863813</v>
      </c>
      <c r="F61" s="31" t="n">
        <f aca="false">INDEX(C61:E61,1,Assumptions!$C$3)</f>
        <v>209.951807228916</v>
      </c>
      <c r="G61" s="8"/>
    </row>
    <row r="62" customFormat="false" ht="15" hidden="false" customHeight="false" outlineLevel="0" collapsed="false">
      <c r="A62" s="6" t="s">
        <v>276</v>
      </c>
      <c r="B62" s="12" t="s">
        <v>264</v>
      </c>
      <c r="C62" s="16" t="n">
        <f aca="false">C49*Assumptions!C90/365</f>
        <v>591780.821917808</v>
      </c>
      <c r="D62" s="16" t="n">
        <f aca="false">D49*Assumptions!D90/365</f>
        <v>1726027.39726027</v>
      </c>
      <c r="E62" s="16" t="n">
        <f aca="false">E49*Assumptions!E90/365</f>
        <v>4663232.87671233</v>
      </c>
      <c r="F62" s="16" t="n">
        <f aca="false">INDEX(C62:E62,1,Assumptions!$C$3)</f>
        <v>1726027.39726027</v>
      </c>
      <c r="G62" s="8"/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4" topLeftCell="C25" activePane="bottomRight" state="frozen"/>
      <selection pane="topLeft" activeCell="A1" activeCellId="0" sqref="A1"/>
      <selection pane="topRight" activeCell="C1" activeCellId="0" sqref="C1"/>
      <selection pane="bottomLeft" activeCell="A25" activeCellId="0" sqref="A2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14" min="3" style="0" width="12"/>
    <col collapsed="false" customWidth="true" hidden="false" outlineLevel="0" max="15" min="15" style="0" width="50"/>
  </cols>
  <sheetData>
    <row r="1" customFormat="false" ht="17.3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9" t="str">
        <f aca="false">"Active scenario: "&amp;Assumptions!$D$3&amp;". Blue cells are inputs; the pilot plan (row 19) is the main lever."</f>
        <v>Active scenario: Base. Blue cells are inputs; the pilot plan (row 19) is the main lever.</v>
      </c>
    </row>
    <row r="4" customFormat="false" ht="15" hidden="false" customHeight="false" outlineLevel="0" collapsed="false">
      <c r="A4" s="9" t="s">
        <v>295</v>
      </c>
      <c r="B4" s="9" t="s">
        <v>296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297</v>
      </c>
    </row>
    <row r="5" customFormat="false" ht="15" hidden="false" customHeight="false" outlineLevel="0" collapsed="false">
      <c r="A5" s="6" t="s">
        <v>298</v>
      </c>
      <c r="B5" s="25" t="n">
        <v>1000000</v>
      </c>
      <c r="O5" s="8" t="s">
        <v>299</v>
      </c>
    </row>
    <row r="6" customFormat="false" ht="15" hidden="false" customHeight="false" outlineLevel="0" collapsed="false">
      <c r="A6" s="6" t="s">
        <v>300</v>
      </c>
      <c r="B6" s="25" t="n">
        <v>50000</v>
      </c>
      <c r="O6" s="8" t="s">
        <v>301</v>
      </c>
    </row>
    <row r="7" customFormat="false" ht="15" hidden="false" customHeight="false" outlineLevel="0" collapsed="false">
      <c r="A7" s="6" t="s">
        <v>302</v>
      </c>
      <c r="B7" s="13" t="n">
        <v>80</v>
      </c>
      <c r="O7" s="8" t="s">
        <v>303</v>
      </c>
    </row>
    <row r="8" customFormat="false" ht="15" hidden="false" customHeight="false" outlineLevel="0" collapsed="false">
      <c r="A8" s="6" t="s">
        <v>304</v>
      </c>
      <c r="B8" s="13" t="n">
        <v>5</v>
      </c>
      <c r="O8" s="8" t="s">
        <v>305</v>
      </c>
    </row>
    <row r="9" customFormat="false" ht="22.35" hidden="false" customHeight="false" outlineLevel="0" collapsed="false">
      <c r="A9" s="6" t="s">
        <v>306</v>
      </c>
      <c r="B9" s="22" t="n">
        <v>0.3</v>
      </c>
      <c r="O9" s="8" t="s">
        <v>307</v>
      </c>
    </row>
    <row r="10" customFormat="false" ht="15" hidden="false" customHeight="false" outlineLevel="0" collapsed="false">
      <c r="A10" s="6" t="s">
        <v>308</v>
      </c>
      <c r="B10" s="32" t="n">
        <f aca="false">ROUND(Assumptions!$F$26,0)</f>
        <v>4</v>
      </c>
      <c r="O10" s="8" t="s">
        <v>309</v>
      </c>
    </row>
    <row r="11" customFormat="false" ht="15" hidden="false" customHeight="false" outlineLevel="0" collapsed="false">
      <c r="A11" s="6" t="s">
        <v>310</v>
      </c>
      <c r="B11" s="32" t="n">
        <f aca="false">ROUND(Assumptions!$F$42,0)</f>
        <v>6</v>
      </c>
      <c r="O11" s="8" t="s">
        <v>311</v>
      </c>
    </row>
    <row r="12" customFormat="false" ht="15" hidden="false" customHeight="false" outlineLevel="0" collapsed="false">
      <c r="A12" s="6" t="s">
        <v>312</v>
      </c>
      <c r="B12" s="32" t="n">
        <f aca="false">ROUND(Assumptions!$F$41/30,0)</f>
        <v>2</v>
      </c>
      <c r="O12" s="8" t="s">
        <v>313</v>
      </c>
    </row>
    <row r="13" customFormat="false" ht="15" hidden="false" customHeight="false" outlineLevel="0" collapsed="false">
      <c r="A13" s="6" t="s">
        <v>314</v>
      </c>
      <c r="B13" s="30" t="n">
        <f aca="false">'Unit economics'!$F$7/12</f>
        <v>37500</v>
      </c>
      <c r="O13" s="8" t="s">
        <v>315</v>
      </c>
    </row>
    <row r="14" customFormat="false" ht="15" hidden="false" customHeight="false" outlineLevel="0" collapsed="false">
      <c r="A14" s="6" t="s">
        <v>316</v>
      </c>
      <c r="B14" s="30" t="n">
        <f aca="false">'Unit economics'!$F$8</f>
        <v>675000</v>
      </c>
      <c r="O14" s="8" t="s">
        <v>317</v>
      </c>
    </row>
    <row r="15" customFormat="false" ht="15" hidden="false" customHeight="false" outlineLevel="0" collapsed="false">
      <c r="A15" s="6" t="s">
        <v>318</v>
      </c>
      <c r="B15" s="32" t="n">
        <f aca="false">Assumptions!$F$28</f>
        <v>24</v>
      </c>
      <c r="O15" s="8" t="s">
        <v>319</v>
      </c>
    </row>
    <row r="16" customFormat="false" ht="15" hidden="false" customHeight="false" outlineLevel="0" collapsed="false">
      <c r="A16" s="6" t="s">
        <v>320</v>
      </c>
      <c r="B16" s="33" t="n">
        <f aca="false">Assumptions!$F$29</f>
        <v>2.5</v>
      </c>
      <c r="O16" s="8" t="s">
        <v>319</v>
      </c>
    </row>
    <row r="17" customFormat="false" ht="15" hidden="false" customHeight="false" outlineLevel="0" collapsed="false">
      <c r="A17" s="6" t="s">
        <v>321</v>
      </c>
      <c r="B17" s="30" t="n">
        <f aca="false">Assumptions!$F$9</f>
        <v>400</v>
      </c>
      <c r="O17" s="8" t="s">
        <v>319</v>
      </c>
    </row>
    <row r="18" customFormat="false" ht="15" hidden="false" customHeight="false" outlineLevel="0" collapsed="false">
      <c r="A18" s="6" t="s">
        <v>322</v>
      </c>
      <c r="B18" s="30" t="n">
        <f aca="false">Assumptions!$F$38</f>
        <v>2000</v>
      </c>
      <c r="O18" s="8" t="s">
        <v>319</v>
      </c>
    </row>
    <row r="19" customFormat="false" ht="15" hidden="false" customHeight="false" outlineLevel="0" collapsed="false">
      <c r="A19" s="6" t="s">
        <v>323</v>
      </c>
      <c r="B19" s="30" t="n">
        <f aca="false">Assumptions!$F$12*Assumptions!$C$4</f>
        <v>2175</v>
      </c>
      <c r="O19" s="8" t="s">
        <v>324</v>
      </c>
    </row>
    <row r="20" customFormat="false" ht="15" hidden="false" customHeight="false" outlineLevel="0" collapsed="false">
      <c r="A20" s="6" t="s">
        <v>325</v>
      </c>
      <c r="B20" s="30" t="n">
        <f aca="false">Assumptions!$F$32</f>
        <v>100</v>
      </c>
      <c r="O20" s="8" t="s">
        <v>319</v>
      </c>
    </row>
    <row r="21" customFormat="false" ht="15" hidden="false" customHeight="false" outlineLevel="0" collapsed="false">
      <c r="A21" s="6" t="s">
        <v>326</v>
      </c>
      <c r="B21" s="30" t="n">
        <f aca="false">Assumptions!$F$39/12</f>
        <v>8333.33333333333</v>
      </c>
      <c r="O21" s="8" t="s">
        <v>327</v>
      </c>
    </row>
    <row r="22" customFormat="false" ht="15" hidden="false" customHeight="false" outlineLevel="0" collapsed="false">
      <c r="A22" s="6" t="s">
        <v>328</v>
      </c>
      <c r="B22" s="30" t="n">
        <f aca="false">Assumptions!$F$30/12</f>
        <v>19666.6666666667</v>
      </c>
      <c r="O22" s="8" t="s">
        <v>327</v>
      </c>
    </row>
    <row r="24" customFormat="false" ht="15" hidden="false" customHeight="false" outlineLevel="0" collapsed="false">
      <c r="A24" s="9" t="s">
        <v>329</v>
      </c>
      <c r="B24" s="9"/>
      <c r="C24" s="9" t="s">
        <v>330</v>
      </c>
      <c r="D24" s="9" t="s">
        <v>331</v>
      </c>
      <c r="E24" s="9" t="s">
        <v>332</v>
      </c>
      <c r="F24" s="9" t="s">
        <v>333</v>
      </c>
      <c r="G24" s="9" t="s">
        <v>334</v>
      </c>
      <c r="H24" s="9" t="s">
        <v>335</v>
      </c>
      <c r="I24" s="9" t="s">
        <v>336</v>
      </c>
      <c r="J24" s="9" t="s">
        <v>337</v>
      </c>
      <c r="K24" s="9" t="s">
        <v>338</v>
      </c>
      <c r="L24" s="9" t="s">
        <v>339</v>
      </c>
      <c r="M24" s="9" t="s">
        <v>340</v>
      </c>
      <c r="N24" s="9" t="s">
        <v>341</v>
      </c>
      <c r="O24" s="9" t="s">
        <v>297</v>
      </c>
    </row>
    <row r="25" customFormat="false" ht="15" hidden="false" customHeight="false" outlineLevel="0" collapsed="false">
      <c r="A25" s="6" t="s">
        <v>342</v>
      </c>
      <c r="C25" s="14" t="n">
        <v>1</v>
      </c>
      <c r="D25" s="14" t="n">
        <v>2</v>
      </c>
      <c r="E25" s="14" t="n">
        <v>3</v>
      </c>
      <c r="F25" s="14" t="n">
        <v>4</v>
      </c>
      <c r="G25" s="14" t="n">
        <v>5</v>
      </c>
      <c r="H25" s="14" t="n">
        <v>6</v>
      </c>
      <c r="I25" s="14" t="n">
        <v>7</v>
      </c>
      <c r="J25" s="14" t="n">
        <v>8</v>
      </c>
      <c r="K25" s="14" t="n">
        <v>9</v>
      </c>
      <c r="L25" s="14" t="n">
        <v>10</v>
      </c>
      <c r="M25" s="14" t="n">
        <v>11</v>
      </c>
      <c r="N25" s="14" t="n">
        <v>12</v>
      </c>
      <c r="O25" s="8"/>
    </row>
    <row r="26" customFormat="false" ht="15" hidden="false" customHeight="false" outlineLevel="0" collapsed="false">
      <c r="A26" s="6" t="s">
        <v>343</v>
      </c>
      <c r="C26" s="13" t="n">
        <v>1</v>
      </c>
      <c r="D26" s="13" t="n">
        <v>2</v>
      </c>
      <c r="E26" s="13" t="n">
        <v>2</v>
      </c>
      <c r="F26" s="13" t="n">
        <v>2</v>
      </c>
      <c r="G26" s="13" t="n">
        <v>2</v>
      </c>
      <c r="H26" s="13" t="n">
        <v>2</v>
      </c>
      <c r="I26" s="13" t="n">
        <v>2</v>
      </c>
      <c r="J26" s="13" t="n">
        <v>2</v>
      </c>
      <c r="K26" s="13" t="n">
        <v>2</v>
      </c>
      <c r="L26" s="13" t="n">
        <v>2</v>
      </c>
      <c r="M26" s="13" t="n">
        <v>2</v>
      </c>
      <c r="N26" s="13" t="n">
        <v>2</v>
      </c>
      <c r="O26" s="8" t="s">
        <v>344</v>
      </c>
    </row>
    <row r="27" customFormat="false" ht="15" hidden="false" customHeight="false" outlineLevel="0" collapsed="false">
      <c r="A27" s="6" t="s">
        <v>345</v>
      </c>
      <c r="C27" s="27" t="n">
        <f aca="false">IF(C25-$B$10&gt;=1,INDEX($C$26:$N$26,1,C25-$B$10)*$B$9,0)</f>
        <v>0</v>
      </c>
      <c r="D27" s="27" t="n">
        <f aca="false">IF(D25-$B$10&gt;=1,INDEX($C$26:$N$26,1,D25-$B$10)*$B$9,0)</f>
        <v>0</v>
      </c>
      <c r="E27" s="27" t="n">
        <f aca="false">IF(E25-$B$10&gt;=1,INDEX($C$26:$N$26,1,E25-$B$10)*$B$9,0)</f>
        <v>0</v>
      </c>
      <c r="F27" s="27" t="n">
        <f aca="false">IF(F25-$B$10&gt;=1,INDEX($C$26:$N$26,1,F25-$B$10)*$B$9,0)</f>
        <v>0</v>
      </c>
      <c r="G27" s="27" t="n">
        <f aca="false">IF(G25-$B$10&gt;=1,INDEX($C$26:$N$26,1,G25-$B$10)*$B$9,0)</f>
        <v>0.3</v>
      </c>
      <c r="H27" s="27" t="n">
        <f aca="false">IF(H25-$B$10&gt;=1,INDEX($C$26:$N$26,1,H25-$B$10)*$B$9,0)</f>
        <v>0.6</v>
      </c>
      <c r="I27" s="27" t="n">
        <f aca="false">IF(I25-$B$10&gt;=1,INDEX($C$26:$N$26,1,I25-$B$10)*$B$9,0)</f>
        <v>0.6</v>
      </c>
      <c r="J27" s="27" t="n">
        <f aca="false">IF(J25-$B$10&gt;=1,INDEX($C$26:$N$26,1,J25-$B$10)*$B$9,0)</f>
        <v>0.6</v>
      </c>
      <c r="K27" s="27" t="n">
        <f aca="false">IF(K25-$B$10&gt;=1,INDEX($C$26:$N$26,1,K25-$B$10)*$B$9,0)</f>
        <v>0.6</v>
      </c>
      <c r="L27" s="27" t="n">
        <f aca="false">IF(L25-$B$10&gt;=1,INDEX($C$26:$N$26,1,L25-$B$10)*$B$9,0)</f>
        <v>0.6</v>
      </c>
      <c r="M27" s="27" t="n">
        <f aca="false">IF(M25-$B$10&gt;=1,INDEX($C$26:$N$26,1,M25-$B$10)*$B$9,0)</f>
        <v>0.6</v>
      </c>
      <c r="N27" s="27" t="n">
        <f aca="false">IF(N25-$B$10&gt;=1,INDEX($C$26:$N$26,1,N25-$B$10)*$B$9,0)</f>
        <v>0.6</v>
      </c>
      <c r="O27" s="8"/>
    </row>
    <row r="28" customFormat="false" ht="15" hidden="false" customHeight="false" outlineLevel="0" collapsed="false">
      <c r="A28" s="6" t="s">
        <v>346</v>
      </c>
      <c r="C28" s="27" t="n">
        <f aca="false">C27</f>
        <v>0</v>
      </c>
      <c r="D28" s="27" t="n">
        <f aca="false">C28+D27</f>
        <v>0</v>
      </c>
      <c r="E28" s="27" t="n">
        <f aca="false">D28+E27</f>
        <v>0</v>
      </c>
      <c r="F28" s="27" t="n">
        <f aca="false">E28+F27</f>
        <v>0</v>
      </c>
      <c r="G28" s="27" t="n">
        <f aca="false">F28+G27</f>
        <v>0.3</v>
      </c>
      <c r="H28" s="27" t="n">
        <f aca="false">G28+H27</f>
        <v>0.9</v>
      </c>
      <c r="I28" s="27" t="n">
        <f aca="false">H28+I27</f>
        <v>1.5</v>
      </c>
      <c r="J28" s="27" t="n">
        <f aca="false">I28+J27</f>
        <v>2.1</v>
      </c>
      <c r="K28" s="27" t="n">
        <f aca="false">J28+K27</f>
        <v>2.7</v>
      </c>
      <c r="L28" s="27" t="n">
        <f aca="false">K28+L27</f>
        <v>3.3</v>
      </c>
      <c r="M28" s="27" t="n">
        <f aca="false">L28+M27</f>
        <v>3.9</v>
      </c>
      <c r="N28" s="27" t="n">
        <f aca="false">M28+N27</f>
        <v>4.5</v>
      </c>
      <c r="O28" s="8"/>
    </row>
    <row r="29" customFormat="false" ht="15" hidden="false" customHeight="false" outlineLevel="0" collapsed="false">
      <c r="A29" s="6" t="s">
        <v>347</v>
      </c>
      <c r="C29" s="16" t="n">
        <f aca="false">C28*$B$13</f>
        <v>0</v>
      </c>
      <c r="D29" s="16" t="n">
        <f aca="false">D28*$B$13</f>
        <v>0</v>
      </c>
      <c r="E29" s="16" t="n">
        <f aca="false">E28*$B$13</f>
        <v>0</v>
      </c>
      <c r="F29" s="16" t="n">
        <f aca="false">F28*$B$13</f>
        <v>0</v>
      </c>
      <c r="G29" s="16" t="n">
        <f aca="false">G28*$B$13</f>
        <v>11250</v>
      </c>
      <c r="H29" s="16" t="n">
        <f aca="false">H28*$B$13</f>
        <v>33750</v>
      </c>
      <c r="I29" s="16" t="n">
        <f aca="false">I28*$B$13</f>
        <v>56250</v>
      </c>
      <c r="J29" s="16" t="n">
        <f aca="false">J28*$B$13</f>
        <v>78750</v>
      </c>
      <c r="K29" s="16" t="n">
        <f aca="false">K28*$B$13</f>
        <v>101250</v>
      </c>
      <c r="L29" s="16" t="n">
        <f aca="false">L28*$B$13</f>
        <v>123750</v>
      </c>
      <c r="M29" s="16" t="n">
        <f aca="false">M28*$B$13</f>
        <v>146250</v>
      </c>
      <c r="N29" s="16" t="n">
        <f aca="false">N28*$B$13</f>
        <v>168750</v>
      </c>
      <c r="O29" s="8"/>
    </row>
    <row r="30" customFormat="false" ht="15" hidden="false" customHeight="false" outlineLevel="0" collapsed="false">
      <c r="A30" s="6" t="s">
        <v>348</v>
      </c>
      <c r="C30" s="16" t="n">
        <f aca="false">IF(C25-$B$11&gt;=1,INDEX($C$27:$N$27,1,C25-$B$11)*$B$14,0)</f>
        <v>0</v>
      </c>
      <c r="D30" s="16" t="n">
        <f aca="false">IF(D25-$B$11&gt;=1,INDEX($C$27:$N$27,1,D25-$B$11)*$B$14,0)</f>
        <v>0</v>
      </c>
      <c r="E30" s="16" t="n">
        <f aca="false">IF(E25-$B$11&gt;=1,INDEX($C$27:$N$27,1,E25-$B$11)*$B$14,0)</f>
        <v>0</v>
      </c>
      <c r="F30" s="16" t="n">
        <f aca="false">IF(F25-$B$11&gt;=1,INDEX($C$27:$N$27,1,F25-$B$11)*$B$14,0)</f>
        <v>0</v>
      </c>
      <c r="G30" s="16" t="n">
        <f aca="false">IF(G25-$B$11&gt;=1,INDEX($C$27:$N$27,1,G25-$B$11)*$B$14,0)</f>
        <v>0</v>
      </c>
      <c r="H30" s="16" t="n">
        <f aca="false">IF(H25-$B$11&gt;=1,INDEX($C$27:$N$27,1,H25-$B$11)*$B$14,0)</f>
        <v>0</v>
      </c>
      <c r="I30" s="16" t="n">
        <f aca="false">IF(I25-$B$11&gt;=1,INDEX($C$27:$N$27,1,I25-$B$11)*$B$14,0)</f>
        <v>0</v>
      </c>
      <c r="J30" s="16" t="n">
        <f aca="false">IF(J25-$B$11&gt;=1,INDEX($C$27:$N$27,1,J25-$B$11)*$B$14,0)</f>
        <v>0</v>
      </c>
      <c r="K30" s="16" t="n">
        <f aca="false">IF(K25-$B$11&gt;=1,INDEX($C$27:$N$27,1,K25-$B$11)*$B$14,0)</f>
        <v>0</v>
      </c>
      <c r="L30" s="16" t="n">
        <f aca="false">IF(L25-$B$11&gt;=1,INDEX($C$27:$N$27,1,L25-$B$11)*$B$14,0)</f>
        <v>0</v>
      </c>
      <c r="M30" s="16" t="n">
        <f aca="false">IF(M25-$B$11&gt;=1,INDEX($C$27:$N$27,1,M25-$B$11)*$B$14,0)</f>
        <v>202500</v>
      </c>
      <c r="N30" s="16" t="n">
        <f aca="false">IF(N25-$B$11&gt;=1,INDEX($C$27:$N$27,1,N25-$B$11)*$B$14,0)</f>
        <v>405000</v>
      </c>
      <c r="O30" s="8"/>
    </row>
    <row r="31" customFormat="false" ht="15" hidden="false" customHeight="false" outlineLevel="0" collapsed="false">
      <c r="A31" s="4" t="s">
        <v>349</v>
      </c>
      <c r="C31" s="16" t="n">
        <f aca="false">C29+C30</f>
        <v>0</v>
      </c>
      <c r="D31" s="16" t="n">
        <f aca="false">D29+D30</f>
        <v>0</v>
      </c>
      <c r="E31" s="16" t="n">
        <f aca="false">E29+E30</f>
        <v>0</v>
      </c>
      <c r="F31" s="16" t="n">
        <f aca="false">F29+F30</f>
        <v>0</v>
      </c>
      <c r="G31" s="16" t="n">
        <f aca="false">G29+G30</f>
        <v>11250</v>
      </c>
      <c r="H31" s="16" t="n">
        <f aca="false">H29+H30</f>
        <v>33750</v>
      </c>
      <c r="I31" s="16" t="n">
        <f aca="false">I29+I30</f>
        <v>56250</v>
      </c>
      <c r="J31" s="16" t="n">
        <f aca="false">J29+J30</f>
        <v>78750</v>
      </c>
      <c r="K31" s="16" t="n">
        <f aca="false">K29+K30</f>
        <v>101250</v>
      </c>
      <c r="L31" s="16" t="n">
        <f aca="false">L29+L30</f>
        <v>123750</v>
      </c>
      <c r="M31" s="16" t="n">
        <f aca="false">M29+M30</f>
        <v>348750</v>
      </c>
      <c r="N31" s="16" t="n">
        <f aca="false">N29+N30</f>
        <v>573750</v>
      </c>
      <c r="O31" s="8"/>
    </row>
    <row r="32" customFormat="false" ht="15" hidden="false" customHeight="false" outlineLevel="0" collapsed="false">
      <c r="A32" s="6" t="s">
        <v>350</v>
      </c>
      <c r="C32" s="16" t="n">
        <f aca="false">IF(C25-$B$12&gt;=1,INDEX($C$29:$N$29,1,C25-$B$12),0)</f>
        <v>0</v>
      </c>
      <c r="D32" s="16" t="n">
        <f aca="false">IF(D25-$B$12&gt;=1,INDEX($C$29:$N$29,1,D25-$B$12),0)</f>
        <v>0</v>
      </c>
      <c r="E32" s="16" t="n">
        <f aca="false">IF(E25-$B$12&gt;=1,INDEX($C$29:$N$29,1,E25-$B$12),0)</f>
        <v>0</v>
      </c>
      <c r="F32" s="16" t="n">
        <f aca="false">IF(F25-$B$12&gt;=1,INDEX($C$29:$N$29,1,F25-$B$12),0)</f>
        <v>0</v>
      </c>
      <c r="G32" s="16" t="n">
        <f aca="false">IF(G25-$B$12&gt;=1,INDEX($C$29:$N$29,1,G25-$B$12),0)</f>
        <v>0</v>
      </c>
      <c r="H32" s="16" t="n">
        <f aca="false">IF(H25-$B$12&gt;=1,INDEX($C$29:$N$29,1,H25-$B$12),0)</f>
        <v>0</v>
      </c>
      <c r="I32" s="16" t="n">
        <f aca="false">IF(I25-$B$12&gt;=1,INDEX($C$29:$N$29,1,I25-$B$12),0)</f>
        <v>11250</v>
      </c>
      <c r="J32" s="16" t="n">
        <f aca="false">IF(J25-$B$12&gt;=1,INDEX($C$29:$N$29,1,J25-$B$12),0)</f>
        <v>33750</v>
      </c>
      <c r="K32" s="16" t="n">
        <f aca="false">IF(K25-$B$12&gt;=1,INDEX($C$29:$N$29,1,K25-$B$12),0)</f>
        <v>56250</v>
      </c>
      <c r="L32" s="16" t="n">
        <f aca="false">IF(L25-$B$12&gt;=1,INDEX($C$29:$N$29,1,L25-$B$12),0)</f>
        <v>78750</v>
      </c>
      <c r="M32" s="16" t="n">
        <f aca="false">IF(M25-$B$12&gt;=1,INDEX($C$29:$N$29,1,M25-$B$12),0)</f>
        <v>101250</v>
      </c>
      <c r="N32" s="16" t="n">
        <f aca="false">IF(N25-$B$12&gt;=1,INDEX($C$29:$N$29,1,N25-$B$12),0)</f>
        <v>123750</v>
      </c>
      <c r="O32" s="8"/>
    </row>
    <row r="33" customFormat="false" ht="15" hidden="false" customHeight="false" outlineLevel="0" collapsed="false">
      <c r="A33" s="6" t="s">
        <v>351</v>
      </c>
      <c r="C33" s="16" t="n">
        <f aca="false">IF(C25-$B$12&gt;=1,INDEX($C$30:$N$30,1,C25-$B$12),0)</f>
        <v>0</v>
      </c>
      <c r="D33" s="16" t="n">
        <f aca="false">IF(D25-$B$12&gt;=1,INDEX($C$30:$N$30,1,D25-$B$12),0)</f>
        <v>0</v>
      </c>
      <c r="E33" s="16" t="n">
        <f aca="false">IF(E25-$B$12&gt;=1,INDEX($C$30:$N$30,1,E25-$B$12),0)</f>
        <v>0</v>
      </c>
      <c r="F33" s="16" t="n">
        <f aca="false">IF(F25-$B$12&gt;=1,INDEX($C$30:$N$30,1,F25-$B$12),0)</f>
        <v>0</v>
      </c>
      <c r="G33" s="16" t="n">
        <f aca="false">IF(G25-$B$12&gt;=1,INDEX($C$30:$N$30,1,G25-$B$12),0)</f>
        <v>0</v>
      </c>
      <c r="H33" s="16" t="n">
        <f aca="false">IF(H25-$B$12&gt;=1,INDEX($C$30:$N$30,1,H25-$B$12),0)</f>
        <v>0</v>
      </c>
      <c r="I33" s="16" t="n">
        <f aca="false">IF(I25-$B$12&gt;=1,INDEX($C$30:$N$30,1,I25-$B$12),0)</f>
        <v>0</v>
      </c>
      <c r="J33" s="16" t="n">
        <f aca="false">IF(J25-$B$12&gt;=1,INDEX($C$30:$N$30,1,J25-$B$12),0)</f>
        <v>0</v>
      </c>
      <c r="K33" s="16" t="n">
        <f aca="false">IF(K25-$B$12&gt;=1,INDEX($C$30:$N$30,1,K25-$B$12),0)</f>
        <v>0</v>
      </c>
      <c r="L33" s="16" t="n">
        <f aca="false">IF(L25-$B$12&gt;=1,INDEX($C$30:$N$30,1,L25-$B$12),0)</f>
        <v>0</v>
      </c>
      <c r="M33" s="16" t="n">
        <f aca="false">IF(M25-$B$12&gt;=1,INDEX($C$30:$N$30,1,M25-$B$12),0)</f>
        <v>0</v>
      </c>
      <c r="N33" s="16" t="n">
        <f aca="false">IF(N25-$B$12&gt;=1,INDEX($C$30:$N$30,1,N25-$B$12),0)</f>
        <v>0</v>
      </c>
      <c r="O33" s="8"/>
    </row>
    <row r="34" customFormat="false" ht="15" hidden="false" customHeight="false" outlineLevel="0" collapsed="false">
      <c r="A34" s="4" t="s">
        <v>352</v>
      </c>
      <c r="C34" s="16" t="n">
        <f aca="false">C32+C33</f>
        <v>0</v>
      </c>
      <c r="D34" s="16" t="n">
        <f aca="false">D32+D33</f>
        <v>0</v>
      </c>
      <c r="E34" s="16" t="n">
        <f aca="false">E32+E33</f>
        <v>0</v>
      </c>
      <c r="F34" s="16" t="n">
        <f aca="false">F32+F33</f>
        <v>0</v>
      </c>
      <c r="G34" s="16" t="n">
        <f aca="false">G32+G33</f>
        <v>0</v>
      </c>
      <c r="H34" s="16" t="n">
        <f aca="false">H32+H33</f>
        <v>0</v>
      </c>
      <c r="I34" s="16" t="n">
        <f aca="false">I32+I33</f>
        <v>11250</v>
      </c>
      <c r="J34" s="16" t="n">
        <f aca="false">J32+J33</f>
        <v>33750</v>
      </c>
      <c r="K34" s="16" t="n">
        <f aca="false">K32+K33</f>
        <v>56250</v>
      </c>
      <c r="L34" s="16" t="n">
        <f aca="false">L32+L33</f>
        <v>78750</v>
      </c>
      <c r="M34" s="16" t="n">
        <f aca="false">M32+M33</f>
        <v>101250</v>
      </c>
      <c r="N34" s="16" t="n">
        <f aca="false">N32+N33</f>
        <v>123750</v>
      </c>
      <c r="O34" s="8"/>
    </row>
    <row r="35" customFormat="false" ht="15" hidden="false" customHeight="false" outlineLevel="0" collapsed="false">
      <c r="A35" s="6" t="s">
        <v>353</v>
      </c>
      <c r="C35" s="27" t="n">
        <f aca="false">C26*$B$15+C28*$B$16</f>
        <v>24</v>
      </c>
      <c r="D35" s="27" t="n">
        <f aca="false">D26*$B$15+D28*$B$16</f>
        <v>48</v>
      </c>
      <c r="E35" s="27" t="n">
        <f aca="false">E26*$B$15+E28*$B$16</f>
        <v>48</v>
      </c>
      <c r="F35" s="27" t="n">
        <f aca="false">F26*$B$15+F28*$B$16</f>
        <v>48</v>
      </c>
      <c r="G35" s="27" t="n">
        <f aca="false">G26*$B$15+G28*$B$16</f>
        <v>48.75</v>
      </c>
      <c r="H35" s="27" t="n">
        <f aca="false">H26*$B$15+H28*$B$16</f>
        <v>50.25</v>
      </c>
      <c r="I35" s="27" t="n">
        <f aca="false">I26*$B$15+I28*$B$16</f>
        <v>51.75</v>
      </c>
      <c r="J35" s="27" t="n">
        <f aca="false">J26*$B$15+J28*$B$16</f>
        <v>53.25</v>
      </c>
      <c r="K35" s="27" t="n">
        <f aca="false">K26*$B$15+K28*$B$16</f>
        <v>54.75</v>
      </c>
      <c r="L35" s="27" t="n">
        <f aca="false">L26*$B$15+L28*$B$16</f>
        <v>56.25</v>
      </c>
      <c r="M35" s="27" t="n">
        <f aca="false">M26*$B$15+M28*$B$16</f>
        <v>57.75</v>
      </c>
      <c r="N35" s="27" t="n">
        <f aca="false">N26*$B$15+N28*$B$16</f>
        <v>59.25</v>
      </c>
      <c r="O35" s="8"/>
    </row>
    <row r="36" customFormat="false" ht="15" hidden="false" customHeight="false" outlineLevel="0" collapsed="false">
      <c r="A36" s="6" t="s">
        <v>354</v>
      </c>
      <c r="C36" s="16" t="n">
        <f aca="false">$B$6</f>
        <v>50000</v>
      </c>
      <c r="D36" s="16" t="n">
        <f aca="false">$B$6</f>
        <v>50000</v>
      </c>
      <c r="E36" s="16" t="n">
        <f aca="false">$B$6</f>
        <v>50000</v>
      </c>
      <c r="F36" s="16" t="n">
        <f aca="false">$B$6</f>
        <v>50000</v>
      </c>
      <c r="G36" s="16" t="n">
        <f aca="false">$B$6</f>
        <v>50000</v>
      </c>
      <c r="H36" s="16" t="n">
        <f aca="false">$B$6</f>
        <v>50000</v>
      </c>
      <c r="I36" s="16" t="n">
        <f aca="false">$B$6</f>
        <v>50000</v>
      </c>
      <c r="J36" s="16" t="n">
        <f aca="false">$B$6</f>
        <v>50000</v>
      </c>
      <c r="K36" s="16" t="n">
        <f aca="false">$B$6</f>
        <v>50000</v>
      </c>
      <c r="L36" s="16" t="n">
        <f aca="false">$B$6</f>
        <v>50000</v>
      </c>
      <c r="M36" s="16" t="n">
        <f aca="false">$B$6</f>
        <v>50000</v>
      </c>
      <c r="N36" s="16" t="n">
        <f aca="false">$B$6</f>
        <v>50000</v>
      </c>
      <c r="O36" s="8"/>
    </row>
    <row r="37" customFormat="false" ht="15" hidden="false" customHeight="false" outlineLevel="0" collapsed="false">
      <c r="A37" s="6" t="s">
        <v>355</v>
      </c>
      <c r="C37" s="16" t="n">
        <f aca="false">MAX(0,C35-$B$7)*$B$17</f>
        <v>0</v>
      </c>
      <c r="D37" s="16" t="n">
        <f aca="false">MAX(0,D35-$B$7)*$B$17</f>
        <v>0</v>
      </c>
      <c r="E37" s="16" t="n">
        <f aca="false">MAX(0,E35-$B$7)*$B$17</f>
        <v>0</v>
      </c>
      <c r="F37" s="16" t="n">
        <f aca="false">MAX(0,F35-$B$7)*$B$17</f>
        <v>0</v>
      </c>
      <c r="G37" s="16" t="n">
        <f aca="false">MAX(0,G35-$B$7)*$B$17</f>
        <v>0</v>
      </c>
      <c r="H37" s="16" t="n">
        <f aca="false">MAX(0,H35-$B$7)*$B$17</f>
        <v>0</v>
      </c>
      <c r="I37" s="16" t="n">
        <f aca="false">MAX(0,I35-$B$7)*$B$17</f>
        <v>0</v>
      </c>
      <c r="J37" s="16" t="n">
        <f aca="false">MAX(0,J35-$B$7)*$B$17</f>
        <v>0</v>
      </c>
      <c r="K37" s="16" t="n">
        <f aca="false">MAX(0,K35-$B$7)*$B$17</f>
        <v>0</v>
      </c>
      <c r="L37" s="16" t="n">
        <f aca="false">MAX(0,L35-$B$7)*$B$17</f>
        <v>0</v>
      </c>
      <c r="M37" s="16" t="n">
        <f aca="false">MAX(0,M35-$B$7)*$B$17</f>
        <v>0</v>
      </c>
      <c r="N37" s="16" t="n">
        <f aca="false">MAX(0,N35-$B$7)*$B$17</f>
        <v>0</v>
      </c>
      <c r="O37" s="8"/>
    </row>
    <row r="38" customFormat="false" ht="15" hidden="false" customHeight="false" outlineLevel="0" collapsed="false">
      <c r="A38" s="6" t="s">
        <v>356</v>
      </c>
      <c r="C38" s="16" t="n">
        <f aca="false">$B$19+C28*$B$20</f>
        <v>2175</v>
      </c>
      <c r="D38" s="16" t="n">
        <f aca="false">$B$19+D28*$B$20</f>
        <v>2175</v>
      </c>
      <c r="E38" s="16" t="n">
        <f aca="false">$B$19+E28*$B$20</f>
        <v>2175</v>
      </c>
      <c r="F38" s="16" t="n">
        <f aca="false">$B$19+F28*$B$20</f>
        <v>2175</v>
      </c>
      <c r="G38" s="16" t="n">
        <f aca="false">$B$19+G28*$B$20</f>
        <v>2205</v>
      </c>
      <c r="H38" s="16" t="n">
        <f aca="false">$B$19+H28*$B$20</f>
        <v>2265</v>
      </c>
      <c r="I38" s="16" t="n">
        <f aca="false">$B$19+I28*$B$20</f>
        <v>2325</v>
      </c>
      <c r="J38" s="16" t="n">
        <f aca="false">$B$19+J28*$B$20</f>
        <v>2385</v>
      </c>
      <c r="K38" s="16" t="n">
        <f aca="false">$B$19+K28*$B$20</f>
        <v>2445</v>
      </c>
      <c r="L38" s="16" t="n">
        <f aca="false">$B$19+L28*$B$20</f>
        <v>2505</v>
      </c>
      <c r="M38" s="16" t="n">
        <f aca="false">$B$19+M28*$B$20</f>
        <v>2565</v>
      </c>
      <c r="N38" s="16" t="n">
        <f aca="false">$B$19+N28*$B$20</f>
        <v>2625</v>
      </c>
      <c r="O38" s="8"/>
    </row>
    <row r="39" customFormat="false" ht="15" hidden="false" customHeight="false" outlineLevel="0" collapsed="false">
      <c r="A39" s="6" t="s">
        <v>357</v>
      </c>
      <c r="C39" s="16" t="n">
        <f aca="false">C26*$B$8*$B$18</f>
        <v>10000</v>
      </c>
      <c r="D39" s="16" t="n">
        <f aca="false">D26*$B$8*$B$18</f>
        <v>20000</v>
      </c>
      <c r="E39" s="16" t="n">
        <f aca="false">E26*$B$8*$B$18</f>
        <v>20000</v>
      </c>
      <c r="F39" s="16" t="n">
        <f aca="false">F26*$B$8*$B$18</f>
        <v>20000</v>
      </c>
      <c r="G39" s="16" t="n">
        <f aca="false">G26*$B$8*$B$18</f>
        <v>20000</v>
      </c>
      <c r="H39" s="16" t="n">
        <f aca="false">H26*$B$8*$B$18</f>
        <v>20000</v>
      </c>
      <c r="I39" s="16" t="n">
        <f aca="false">I26*$B$8*$B$18</f>
        <v>20000</v>
      </c>
      <c r="J39" s="16" t="n">
        <f aca="false">J26*$B$8*$B$18</f>
        <v>20000</v>
      </c>
      <c r="K39" s="16" t="n">
        <f aca="false">K26*$B$8*$B$18</f>
        <v>20000</v>
      </c>
      <c r="L39" s="16" t="n">
        <f aca="false">L26*$B$8*$B$18</f>
        <v>20000</v>
      </c>
      <c r="M39" s="16" t="n">
        <f aca="false">M26*$B$8*$B$18</f>
        <v>20000</v>
      </c>
      <c r="N39" s="16" t="n">
        <f aca="false">N26*$B$8*$B$18</f>
        <v>20000</v>
      </c>
      <c r="O39" s="8"/>
    </row>
    <row r="40" customFormat="false" ht="15" hidden="false" customHeight="false" outlineLevel="0" collapsed="false">
      <c r="A40" s="6" t="s">
        <v>358</v>
      </c>
      <c r="C40" s="16" t="n">
        <f aca="false">$B$21</f>
        <v>8333.33333333333</v>
      </c>
      <c r="D40" s="16" t="n">
        <f aca="false">$B$21</f>
        <v>8333.33333333333</v>
      </c>
      <c r="E40" s="16" t="n">
        <f aca="false">$B$21</f>
        <v>8333.33333333333</v>
      </c>
      <c r="F40" s="16" t="n">
        <f aca="false">$B$21</f>
        <v>8333.33333333333</v>
      </c>
      <c r="G40" s="16" t="n">
        <f aca="false">$B$21</f>
        <v>8333.33333333333</v>
      </c>
      <c r="H40" s="16" t="n">
        <f aca="false">$B$21</f>
        <v>8333.33333333333</v>
      </c>
      <c r="I40" s="16" t="n">
        <f aca="false">$B$21</f>
        <v>8333.33333333333</v>
      </c>
      <c r="J40" s="16" t="n">
        <f aca="false">$B$21</f>
        <v>8333.33333333333</v>
      </c>
      <c r="K40" s="16" t="n">
        <f aca="false">$B$21</f>
        <v>8333.33333333333</v>
      </c>
      <c r="L40" s="16" t="n">
        <f aca="false">$B$21</f>
        <v>8333.33333333333</v>
      </c>
      <c r="M40" s="16" t="n">
        <f aca="false">$B$21</f>
        <v>8333.33333333333</v>
      </c>
      <c r="N40" s="16" t="n">
        <f aca="false">$B$21</f>
        <v>8333.33333333333</v>
      </c>
      <c r="O40" s="8"/>
    </row>
    <row r="41" customFormat="false" ht="15" hidden="false" customHeight="false" outlineLevel="0" collapsed="false">
      <c r="A41" s="6" t="s">
        <v>359</v>
      </c>
      <c r="C41" s="16" t="n">
        <f aca="false">$B$22</f>
        <v>19666.6666666667</v>
      </c>
      <c r="D41" s="16" t="n">
        <f aca="false">$B$22</f>
        <v>19666.6666666667</v>
      </c>
      <c r="E41" s="16" t="n">
        <f aca="false">$B$22</f>
        <v>19666.6666666667</v>
      </c>
      <c r="F41" s="16" t="n">
        <f aca="false">$B$22</f>
        <v>19666.6666666667</v>
      </c>
      <c r="G41" s="16" t="n">
        <f aca="false">$B$22</f>
        <v>19666.6666666667</v>
      </c>
      <c r="H41" s="16" t="n">
        <f aca="false">$B$22</f>
        <v>19666.6666666667</v>
      </c>
      <c r="I41" s="16" t="n">
        <f aca="false">$B$22</f>
        <v>19666.6666666667</v>
      </c>
      <c r="J41" s="16" t="n">
        <f aca="false">$B$22</f>
        <v>19666.6666666667</v>
      </c>
      <c r="K41" s="16" t="n">
        <f aca="false">$B$22</f>
        <v>19666.6666666667</v>
      </c>
      <c r="L41" s="16" t="n">
        <f aca="false">$B$22</f>
        <v>19666.6666666667</v>
      </c>
      <c r="M41" s="16" t="n">
        <f aca="false">$B$22</f>
        <v>19666.6666666667</v>
      </c>
      <c r="N41" s="16" t="n">
        <f aca="false">$B$22</f>
        <v>19666.6666666667</v>
      </c>
      <c r="O41" s="8"/>
    </row>
    <row r="42" customFormat="false" ht="15" hidden="false" customHeight="false" outlineLevel="0" collapsed="false">
      <c r="A42" s="4" t="s">
        <v>360</v>
      </c>
      <c r="C42" s="16" t="n">
        <f aca="false">SUM(C36:C41)</f>
        <v>90175</v>
      </c>
      <c r="D42" s="16" t="n">
        <f aca="false">SUM(D36:D41)</f>
        <v>100175</v>
      </c>
      <c r="E42" s="16" t="n">
        <f aca="false">SUM(E36:E41)</f>
        <v>100175</v>
      </c>
      <c r="F42" s="16" t="n">
        <f aca="false">SUM(F36:F41)</f>
        <v>100175</v>
      </c>
      <c r="G42" s="16" t="n">
        <f aca="false">SUM(G36:G41)</f>
        <v>100205</v>
      </c>
      <c r="H42" s="16" t="n">
        <f aca="false">SUM(H36:H41)</f>
        <v>100265</v>
      </c>
      <c r="I42" s="16" t="n">
        <f aca="false">SUM(I36:I41)</f>
        <v>100325</v>
      </c>
      <c r="J42" s="16" t="n">
        <f aca="false">SUM(J36:J41)</f>
        <v>100385</v>
      </c>
      <c r="K42" s="16" t="n">
        <f aca="false">SUM(K36:K41)</f>
        <v>100445</v>
      </c>
      <c r="L42" s="16" t="n">
        <f aca="false">SUM(L36:L41)</f>
        <v>100505</v>
      </c>
      <c r="M42" s="16" t="n">
        <f aca="false">SUM(M36:M41)</f>
        <v>100565</v>
      </c>
      <c r="N42" s="16" t="n">
        <f aca="false">SUM(N36:N41)</f>
        <v>100625</v>
      </c>
      <c r="O42" s="8"/>
    </row>
    <row r="43" customFormat="false" ht="15" hidden="false" customHeight="false" outlineLevel="0" collapsed="false">
      <c r="A43" s="6" t="s">
        <v>361</v>
      </c>
      <c r="C43" s="16" t="n">
        <f aca="false">C34-C42</f>
        <v>-90175</v>
      </c>
      <c r="D43" s="16" t="n">
        <f aca="false">D34-D42</f>
        <v>-100175</v>
      </c>
      <c r="E43" s="16" t="n">
        <f aca="false">E34-E42</f>
        <v>-100175</v>
      </c>
      <c r="F43" s="16" t="n">
        <f aca="false">F34-F42</f>
        <v>-100175</v>
      </c>
      <c r="G43" s="16" t="n">
        <f aca="false">G34-G42</f>
        <v>-100205</v>
      </c>
      <c r="H43" s="16" t="n">
        <f aca="false">H34-H42</f>
        <v>-100265</v>
      </c>
      <c r="I43" s="16" t="n">
        <f aca="false">I34-I42</f>
        <v>-89075</v>
      </c>
      <c r="J43" s="16" t="n">
        <f aca="false">J34-J42</f>
        <v>-66635</v>
      </c>
      <c r="K43" s="16" t="n">
        <f aca="false">K34-K42</f>
        <v>-44195</v>
      </c>
      <c r="L43" s="16" t="n">
        <f aca="false">L34-L42</f>
        <v>-21755</v>
      </c>
      <c r="M43" s="16" t="n">
        <f aca="false">M34-M42</f>
        <v>685</v>
      </c>
      <c r="N43" s="16" t="n">
        <f aca="false">N34-N42</f>
        <v>23125</v>
      </c>
      <c r="O43" s="8"/>
    </row>
    <row r="44" customFormat="false" ht="15" hidden="false" customHeight="false" outlineLevel="0" collapsed="false">
      <c r="A44" s="6" t="s">
        <v>362</v>
      </c>
      <c r="C44" s="16" t="n">
        <f aca="false">C42</f>
        <v>90175</v>
      </c>
      <c r="D44" s="16" t="n">
        <f aca="false">C44+D42</f>
        <v>190350</v>
      </c>
      <c r="E44" s="16" t="n">
        <f aca="false">D44+E42</f>
        <v>290525</v>
      </c>
      <c r="F44" s="16" t="n">
        <f aca="false">E44+F42</f>
        <v>390700</v>
      </c>
      <c r="G44" s="16" t="n">
        <f aca="false">F44+G42</f>
        <v>490905</v>
      </c>
      <c r="H44" s="16" t="n">
        <f aca="false">G44+H42</f>
        <v>591170</v>
      </c>
      <c r="I44" s="16" t="n">
        <f aca="false">H44+I42</f>
        <v>691495</v>
      </c>
      <c r="J44" s="16" t="n">
        <f aca="false">I44+J42</f>
        <v>791880</v>
      </c>
      <c r="K44" s="16" t="n">
        <f aca="false">J44+K42</f>
        <v>892325</v>
      </c>
      <c r="L44" s="16" t="n">
        <f aca="false">K44+L42</f>
        <v>992830</v>
      </c>
      <c r="M44" s="16" t="n">
        <f aca="false">L44+M42</f>
        <v>1093395</v>
      </c>
      <c r="N44" s="16" t="n">
        <f aca="false">M44+N42</f>
        <v>1194020</v>
      </c>
      <c r="O44" s="8"/>
    </row>
    <row r="45" customFormat="false" ht="15" hidden="false" customHeight="false" outlineLevel="0" collapsed="false">
      <c r="A45" s="6" t="s">
        <v>363</v>
      </c>
      <c r="C45" s="16" t="n">
        <f aca="false">C34</f>
        <v>0</v>
      </c>
      <c r="D45" s="16" t="n">
        <f aca="false">C45+D34</f>
        <v>0</v>
      </c>
      <c r="E45" s="16" t="n">
        <f aca="false">D45+E34</f>
        <v>0</v>
      </c>
      <c r="F45" s="16" t="n">
        <f aca="false">E45+F34</f>
        <v>0</v>
      </c>
      <c r="G45" s="16" t="n">
        <f aca="false">F45+G34</f>
        <v>0</v>
      </c>
      <c r="H45" s="16" t="n">
        <f aca="false">G45+H34</f>
        <v>0</v>
      </c>
      <c r="I45" s="16" t="n">
        <f aca="false">H45+I34</f>
        <v>11250</v>
      </c>
      <c r="J45" s="16" t="n">
        <f aca="false">I45+J34</f>
        <v>45000</v>
      </c>
      <c r="K45" s="16" t="n">
        <f aca="false">J45+K34</f>
        <v>101250</v>
      </c>
      <c r="L45" s="16" t="n">
        <f aca="false">K45+L34</f>
        <v>180000</v>
      </c>
      <c r="M45" s="16" t="n">
        <f aca="false">L45+M34</f>
        <v>281250</v>
      </c>
      <c r="N45" s="16" t="n">
        <f aca="false">M45+N34</f>
        <v>405000</v>
      </c>
      <c r="O45" s="8"/>
    </row>
    <row r="46" customFormat="false" ht="15" hidden="false" customHeight="false" outlineLevel="0" collapsed="false">
      <c r="A46" s="4" t="s">
        <v>364</v>
      </c>
      <c r="C46" s="16" t="n">
        <f aca="false">$B$5+C45-C44</f>
        <v>909825</v>
      </c>
      <c r="D46" s="16" t="n">
        <f aca="false">$B$5+D45-D44</f>
        <v>809650</v>
      </c>
      <c r="E46" s="16" t="n">
        <f aca="false">$B$5+E45-E44</f>
        <v>709475</v>
      </c>
      <c r="F46" s="16" t="n">
        <f aca="false">$B$5+F45-F44</f>
        <v>609300</v>
      </c>
      <c r="G46" s="16" t="n">
        <f aca="false">$B$5+G45-G44</f>
        <v>509095</v>
      </c>
      <c r="H46" s="16" t="n">
        <f aca="false">$B$5+H45-H44</f>
        <v>408830</v>
      </c>
      <c r="I46" s="16" t="n">
        <f aca="false">$B$5+I45-I44</f>
        <v>319755</v>
      </c>
      <c r="J46" s="16" t="n">
        <f aca="false">$B$5+J45-J44</f>
        <v>253120</v>
      </c>
      <c r="K46" s="16" t="n">
        <f aca="false">$B$5+K45-K44</f>
        <v>208925</v>
      </c>
      <c r="L46" s="16" t="n">
        <f aca="false">$B$5+L45-L44</f>
        <v>187170</v>
      </c>
      <c r="M46" s="16" t="n">
        <f aca="false">$B$5+M45-M44</f>
        <v>187855</v>
      </c>
      <c r="N46" s="16" t="n">
        <f aca="false">$B$5+N45-N44</f>
        <v>210980</v>
      </c>
      <c r="O46" s="8"/>
    </row>
    <row r="47" customFormat="false" ht="15" hidden="false" customHeight="false" outlineLevel="0" collapsed="false">
      <c r="A47" s="6" t="s">
        <v>365</v>
      </c>
      <c r="C47" s="6" t="str">
        <f aca="false">IF(C46&lt;0,"CASH OUT","ok")</f>
        <v>ok</v>
      </c>
      <c r="D47" s="6" t="str">
        <f aca="false">IF(D46&lt;0,"CASH OUT","ok")</f>
        <v>ok</v>
      </c>
      <c r="E47" s="6" t="str">
        <f aca="false">IF(E46&lt;0,"CASH OUT","ok")</f>
        <v>ok</v>
      </c>
      <c r="F47" s="6" t="str">
        <f aca="false">IF(F46&lt;0,"CASH OUT","ok")</f>
        <v>ok</v>
      </c>
      <c r="G47" s="6" t="str">
        <f aca="false">IF(G46&lt;0,"CASH OUT","ok")</f>
        <v>ok</v>
      </c>
      <c r="H47" s="6" t="str">
        <f aca="false">IF(H46&lt;0,"CASH OUT","ok")</f>
        <v>ok</v>
      </c>
      <c r="I47" s="6" t="str">
        <f aca="false">IF(I46&lt;0,"CASH OUT","ok")</f>
        <v>ok</v>
      </c>
      <c r="J47" s="6" t="str">
        <f aca="false">IF(J46&lt;0,"CASH OUT","ok")</f>
        <v>ok</v>
      </c>
      <c r="K47" s="6" t="str">
        <f aca="false">IF(K46&lt;0,"CASH OUT","ok")</f>
        <v>ok</v>
      </c>
      <c r="L47" s="6" t="str">
        <f aca="false">IF(L46&lt;0,"CASH OUT","ok")</f>
        <v>ok</v>
      </c>
      <c r="M47" s="6" t="str">
        <f aca="false">IF(M46&lt;0,"CASH OUT","ok")</f>
        <v>ok</v>
      </c>
      <c r="N47" s="6" t="str">
        <f aca="false">IF(N46&lt;0,"CASH OUT","ok")</f>
        <v>ok</v>
      </c>
      <c r="O47" s="8"/>
    </row>
    <row r="48" customFormat="false" ht="15" hidden="false" customHeight="false" outlineLevel="0" collapsed="false">
      <c r="A48" s="6" t="s">
        <v>366</v>
      </c>
      <c r="C48" s="14" t="str">
        <f aca="false">IF(AND(C34&gt;0,SUM($C$34:C34)=C34),C25,"")</f>
        <v/>
      </c>
      <c r="D48" s="14" t="str">
        <f aca="false">IF(AND(D34&gt;0,SUM($C$34:D34)=D34),D25,"")</f>
        <v/>
      </c>
      <c r="E48" s="14" t="str">
        <f aca="false">IF(AND(E34&gt;0,SUM($C$34:E34)=E34),E25,"")</f>
        <v/>
      </c>
      <c r="F48" s="14" t="str">
        <f aca="false">IF(AND(F34&gt;0,SUM($C$34:F34)=F34),F25,"")</f>
        <v/>
      </c>
      <c r="G48" s="14" t="str">
        <f aca="false">IF(AND(G34&gt;0,SUM($C$34:G34)=G34),G25,"")</f>
        <v/>
      </c>
      <c r="H48" s="14" t="str">
        <f aca="false">IF(AND(H34&gt;0,SUM($C$34:H34)=H34),H25,"")</f>
        <v/>
      </c>
      <c r="I48" s="14" t="n">
        <f aca="false">IF(AND(I34&gt;0,SUM($C$34:I34)=I34),I25,"")</f>
        <v>7</v>
      </c>
      <c r="J48" s="14" t="str">
        <f aca="false">IF(AND(J34&gt;0,SUM($C$34:J34)=J34),J25,"")</f>
        <v/>
      </c>
      <c r="K48" s="14" t="str">
        <f aca="false">IF(AND(K34&gt;0,SUM($C$34:K34)=K34),K25,"")</f>
        <v/>
      </c>
      <c r="L48" s="14" t="str">
        <f aca="false">IF(AND(L34&gt;0,SUM($C$34:L34)=L34),L25,"")</f>
        <v/>
      </c>
      <c r="M48" s="14" t="str">
        <f aca="false">IF(AND(M34&gt;0,SUM($C$34:M34)=M34),M25,"")</f>
        <v/>
      </c>
      <c r="N48" s="14" t="str">
        <f aca="false">IF(AND(N34&gt;0,SUM($C$34:N34)=N34),N25,"")</f>
        <v/>
      </c>
      <c r="O48" s="8" t="s">
        <v>367</v>
      </c>
    </row>
    <row r="50" customFormat="false" ht="15" hidden="false" customHeight="false" outlineLevel="0" collapsed="false">
      <c r="A50" s="34" t="s">
        <v>368</v>
      </c>
    </row>
    <row r="51" customFormat="false" ht="15" hidden="false" customHeight="false" outlineLevel="0" collapsed="false">
      <c r="A51" s="6" t="s">
        <v>369</v>
      </c>
      <c r="B51" s="35" t="n">
        <f aca="false">IF(COUNT($C$48:$N$48)=0,"none in 12 months",MIN($C$48:$N$48))</f>
        <v>7</v>
      </c>
    </row>
    <row r="52" customFormat="false" ht="15" hidden="false" customHeight="false" outlineLevel="0" collapsed="false">
      <c r="A52" s="6" t="s">
        <v>370</v>
      </c>
      <c r="B52" s="35" t="n">
        <f aca="false">IF(COUNTIF($C$31:$N$31,"&gt;0")=0,"none in 12 months",13-COUNTIF($C$31:$N$31,"&gt;0"))</f>
        <v>5</v>
      </c>
    </row>
    <row r="53" customFormat="false" ht="15" hidden="false" customHeight="false" outlineLevel="0" collapsed="false">
      <c r="A53" s="6" t="s">
        <v>371</v>
      </c>
      <c r="B53" s="35" t="n">
        <f aca="false">SUM($C$26:$N$26)</f>
        <v>23</v>
      </c>
    </row>
    <row r="54" customFormat="false" ht="15" hidden="false" customHeight="false" outlineLevel="0" collapsed="false">
      <c r="A54" s="6" t="s">
        <v>372</v>
      </c>
      <c r="B54" s="36" t="n">
        <f aca="false">N28</f>
        <v>4.5</v>
      </c>
    </row>
    <row r="55" customFormat="false" ht="15" hidden="false" customHeight="false" outlineLevel="0" collapsed="false">
      <c r="A55" s="6" t="s">
        <v>373</v>
      </c>
      <c r="B55" s="37" t="n">
        <f aca="false">SUM($C$31:$N$31)</f>
        <v>1327500</v>
      </c>
    </row>
    <row r="56" customFormat="false" ht="15" hidden="false" customHeight="false" outlineLevel="0" collapsed="false">
      <c r="A56" s="6" t="s">
        <v>374</v>
      </c>
      <c r="B56" s="37" t="n">
        <f aca="false">SUM($C$34:$N$34)</f>
        <v>405000</v>
      </c>
    </row>
    <row r="57" customFormat="false" ht="15" hidden="false" customHeight="false" outlineLevel="0" collapsed="false">
      <c r="A57" s="6" t="s">
        <v>375</v>
      </c>
      <c r="B57" s="37" t="n">
        <f aca="false">N44</f>
        <v>1194020</v>
      </c>
    </row>
    <row r="58" customFormat="false" ht="15" hidden="false" customHeight="false" outlineLevel="0" collapsed="false">
      <c r="A58" s="6" t="s">
        <v>376</v>
      </c>
      <c r="B58" s="37" t="n">
        <f aca="false">MIN($C$46:$N$46)</f>
        <v>187170</v>
      </c>
    </row>
    <row r="59" customFormat="false" ht="15" hidden="false" customHeight="false" outlineLevel="0" collapsed="false">
      <c r="A59" s="6" t="s">
        <v>377</v>
      </c>
      <c r="B59" s="37" t="n">
        <f aca="false">N46</f>
        <v>210980</v>
      </c>
    </row>
    <row r="60" customFormat="false" ht="15" hidden="false" customHeight="false" outlineLevel="0" collapsed="false">
      <c r="A60" s="6" t="s">
        <v>378</v>
      </c>
      <c r="B60" s="4" t="str">
        <f aca="false">IF(COUNTIF($C$47:$N$47,"CASH OUT")&gt;0,"YES — "&amp;COUNTIF($C$47:$N$47,"CASH OUT")&amp;" month(s) below zero","no")</f>
        <v>no</v>
      </c>
    </row>
    <row r="61" customFormat="false" ht="15" hidden="false" customHeight="false" outlineLevel="0" collapsed="false">
      <c r="A61" s="6" t="s">
        <v>379</v>
      </c>
      <c r="B61" s="37" t="n">
        <f aca="false">N28*$B$13*12</f>
        <v>2025000</v>
      </c>
    </row>
    <row r="63" customFormat="false" ht="30" hidden="false" customHeight="true" outlineLevel="0" collapsed="false">
      <c r="A63" s="28" t="s">
        <v>380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</sheetData>
  <mergeCells count="1">
    <mergeCell ref="A63:N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11" min="3" style="0" width="15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381</v>
      </c>
    </row>
    <row r="2" customFormat="false" ht="30" hidden="false" customHeight="true" outlineLevel="0" collapsed="false">
      <c r="A2" s="28" t="s">
        <v>382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customFormat="false" ht="15" hidden="false" customHeight="false" outlineLevel="0" collapsed="false">
      <c r="A4" s="9"/>
      <c r="B4" s="9"/>
      <c r="C4" s="9" t="s">
        <v>29</v>
      </c>
      <c r="D4" s="9"/>
      <c r="E4" s="9"/>
      <c r="F4" s="9" t="s">
        <v>30</v>
      </c>
      <c r="G4" s="9"/>
      <c r="H4" s="9"/>
      <c r="I4" s="9" t="s">
        <v>31</v>
      </c>
      <c r="J4" s="9"/>
      <c r="K4" s="9"/>
      <c r="L4" s="9" t="s">
        <v>297</v>
      </c>
    </row>
    <row r="5" customFormat="false" ht="15" hidden="false" customHeight="false" outlineLevel="0" collapsed="false">
      <c r="A5" s="4" t="s">
        <v>383</v>
      </c>
      <c r="C5" s="13" t="n">
        <v>10</v>
      </c>
      <c r="D5" s="13" t="n">
        <v>100</v>
      </c>
      <c r="E5" s="13" t="n">
        <v>1000</v>
      </c>
      <c r="F5" s="13" t="n">
        <v>10</v>
      </c>
      <c r="G5" s="13" t="n">
        <v>100</v>
      </c>
      <c r="H5" s="13" t="n">
        <v>1000</v>
      </c>
      <c r="I5" s="13" t="n">
        <v>10</v>
      </c>
      <c r="J5" s="13" t="n">
        <v>100</v>
      </c>
      <c r="K5" s="13" t="n">
        <v>1000</v>
      </c>
    </row>
    <row r="7" customFormat="false" ht="15" hidden="false" customHeight="false" outlineLevel="0" collapsed="false">
      <c r="A7" s="10" t="s">
        <v>246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6" t="s">
        <v>384</v>
      </c>
      <c r="B8" s="12" t="s">
        <v>385</v>
      </c>
      <c r="C8" s="14" t="n">
        <f aca="false">C$5</f>
        <v>10</v>
      </c>
      <c r="D8" s="14" t="n">
        <f aca="false">D$5</f>
        <v>100</v>
      </c>
      <c r="E8" s="14" t="n">
        <f aca="false">E$5</f>
        <v>1000</v>
      </c>
      <c r="F8" s="14" t="n">
        <f aca="false">F$5</f>
        <v>10</v>
      </c>
      <c r="G8" s="14" t="n">
        <f aca="false">G$5</f>
        <v>100</v>
      </c>
      <c r="H8" s="14" t="n">
        <f aca="false">H$5</f>
        <v>1000</v>
      </c>
      <c r="I8" s="14" t="n">
        <f aca="false">I$5</f>
        <v>10</v>
      </c>
      <c r="J8" s="14" t="n">
        <f aca="false">J$5</f>
        <v>100</v>
      </c>
      <c r="K8" s="14" t="n">
        <f aca="false">K$5</f>
        <v>1000</v>
      </c>
      <c r="L8" s="8"/>
    </row>
    <row r="9" customFormat="false" ht="15" hidden="false" customHeight="false" outlineLevel="0" collapsed="false">
      <c r="A9" s="6" t="s">
        <v>386</v>
      </c>
      <c r="B9" s="12" t="s">
        <v>251</v>
      </c>
      <c r="C9" s="16" t="n">
        <f aca="false">C$5*'Unit economics'!$C$11</f>
        <v>1500000</v>
      </c>
      <c r="D9" s="16" t="n">
        <f aca="false">D$5*'Unit economics'!$C$11</f>
        <v>15000000</v>
      </c>
      <c r="E9" s="16" t="n">
        <f aca="false">E$5*'Unit economics'!$C$11</f>
        <v>150000000</v>
      </c>
      <c r="F9" s="16" t="n">
        <f aca="false">F$5*'Unit economics'!$D$11</f>
        <v>5625000</v>
      </c>
      <c r="G9" s="16" t="n">
        <f aca="false">G$5*'Unit economics'!$D$11</f>
        <v>56250000</v>
      </c>
      <c r="H9" s="16" t="n">
        <f aca="false">H$5*'Unit economics'!$D$11</f>
        <v>562500000</v>
      </c>
      <c r="I9" s="16" t="n">
        <f aca="false">I$5*'Unit economics'!$E$11</f>
        <v>23125000</v>
      </c>
      <c r="J9" s="16" t="n">
        <f aca="false">J$5*'Unit economics'!$E$11</f>
        <v>231250000</v>
      </c>
      <c r="K9" s="16" t="n">
        <f aca="false">K$5*'Unit economics'!$E$11</f>
        <v>2312500000</v>
      </c>
      <c r="L9" s="8"/>
    </row>
    <row r="10" customFormat="false" ht="15" hidden="false" customHeight="false" outlineLevel="0" collapsed="false">
      <c r="A10" s="6" t="s">
        <v>387</v>
      </c>
      <c r="B10" s="12" t="s">
        <v>251</v>
      </c>
      <c r="C10" s="16" t="n">
        <f aca="false">C$5*Assumptions!$C$27*'Unit economics'!$C$8</f>
        <v>125000</v>
      </c>
      <c r="D10" s="16" t="n">
        <f aca="false">D$5*Assumptions!$C$27*'Unit economics'!$C$8</f>
        <v>1250000</v>
      </c>
      <c r="E10" s="16" t="n">
        <f aca="false">E$5*Assumptions!$C$27*'Unit economics'!$C$8</f>
        <v>12500000</v>
      </c>
      <c r="F10" s="16" t="n">
        <f aca="false">F$5*Assumptions!$D$27*'Unit economics'!$D$8</f>
        <v>1012500</v>
      </c>
      <c r="G10" s="16" t="n">
        <f aca="false">G$5*Assumptions!$D$27*'Unit economics'!$D$8</f>
        <v>10125000</v>
      </c>
      <c r="H10" s="16" t="n">
        <f aca="false">H$5*Assumptions!$D$27*'Unit economics'!$D$8</f>
        <v>101250000</v>
      </c>
      <c r="I10" s="16" t="n">
        <f aca="false">I$5*Assumptions!$E$27*'Unit economics'!$E$8</f>
        <v>5250000</v>
      </c>
      <c r="J10" s="16" t="n">
        <f aca="false">J$5*Assumptions!$E$27*'Unit economics'!$E$8</f>
        <v>52500000</v>
      </c>
      <c r="K10" s="16" t="n">
        <f aca="false">K$5*Assumptions!$E$27*'Unit economics'!$E$8</f>
        <v>525000000</v>
      </c>
      <c r="L10" s="8"/>
    </row>
    <row r="11" customFormat="false" ht="15" hidden="false" customHeight="false" outlineLevel="0" collapsed="false">
      <c r="A11" s="4" t="s">
        <v>388</v>
      </c>
      <c r="B11" s="12" t="s">
        <v>251</v>
      </c>
      <c r="C11" s="37" t="n">
        <f aca="false">C9+C10</f>
        <v>1625000</v>
      </c>
      <c r="D11" s="37" t="n">
        <f aca="false">D9+D10</f>
        <v>16250000</v>
      </c>
      <c r="E11" s="37" t="n">
        <f aca="false">E9+E10</f>
        <v>162500000</v>
      </c>
      <c r="F11" s="37" t="n">
        <f aca="false">F9+F10</f>
        <v>6637500</v>
      </c>
      <c r="G11" s="37" t="n">
        <f aca="false">G9+G10</f>
        <v>66375000</v>
      </c>
      <c r="H11" s="37" t="n">
        <f aca="false">H9+H10</f>
        <v>663750000</v>
      </c>
      <c r="I11" s="37" t="n">
        <f aca="false">I9+I10</f>
        <v>28375000</v>
      </c>
      <c r="J11" s="37" t="n">
        <f aca="false">J9+J10</f>
        <v>283750000</v>
      </c>
      <c r="K11" s="37" t="n">
        <f aca="false">K9+K10</f>
        <v>2837500000</v>
      </c>
      <c r="L11" s="8"/>
    </row>
    <row r="12" customFormat="false" ht="15" hidden="false" customHeight="false" outlineLevel="0" collapsed="false">
      <c r="A12" s="6" t="s">
        <v>389</v>
      </c>
      <c r="B12" s="12" t="s">
        <v>251</v>
      </c>
      <c r="C12" s="16" t="n">
        <f aca="false">C$5*'Unit economics'!$C$12</f>
        <v>264000</v>
      </c>
      <c r="D12" s="16" t="n">
        <f aca="false">D$5*'Unit economics'!$C$12</f>
        <v>2640000</v>
      </c>
      <c r="E12" s="16" t="n">
        <f aca="false">E$5*'Unit economics'!$C$12</f>
        <v>26400000</v>
      </c>
      <c r="F12" s="16" t="n">
        <f aca="false">F$5*'Unit economics'!$D$12</f>
        <v>132000</v>
      </c>
      <c r="G12" s="16" t="n">
        <f aca="false">G$5*'Unit economics'!$D$12</f>
        <v>1320000</v>
      </c>
      <c r="H12" s="16" t="n">
        <f aca="false">H$5*'Unit economics'!$D$12</f>
        <v>13200000</v>
      </c>
      <c r="I12" s="16" t="n">
        <f aca="false">I$5*'Unit economics'!$E$12</f>
        <v>69000</v>
      </c>
      <c r="J12" s="16" t="n">
        <f aca="false">J$5*'Unit economics'!$E$12</f>
        <v>690000</v>
      </c>
      <c r="K12" s="16" t="n">
        <f aca="false">K$5*'Unit economics'!$E$12</f>
        <v>6900000</v>
      </c>
      <c r="L12" s="8"/>
    </row>
    <row r="13" customFormat="false" ht="15" hidden="false" customHeight="false" outlineLevel="0" collapsed="false">
      <c r="A13" s="4" t="s">
        <v>390</v>
      </c>
      <c r="B13" s="12" t="s">
        <v>251</v>
      </c>
      <c r="C13" s="37" t="n">
        <f aca="false">C11-C12</f>
        <v>1361000</v>
      </c>
      <c r="D13" s="37" t="n">
        <f aca="false">D11-D12</f>
        <v>13610000</v>
      </c>
      <c r="E13" s="37" t="n">
        <f aca="false">E11-E12</f>
        <v>136100000</v>
      </c>
      <c r="F13" s="37" t="n">
        <f aca="false">F11-F12</f>
        <v>6505500</v>
      </c>
      <c r="G13" s="37" t="n">
        <f aca="false">G11-G12</f>
        <v>65055000</v>
      </c>
      <c r="H13" s="37" t="n">
        <f aca="false">H11-H12</f>
        <v>650550000</v>
      </c>
      <c r="I13" s="37" t="n">
        <f aca="false">I11-I12</f>
        <v>28306000</v>
      </c>
      <c r="J13" s="37" t="n">
        <f aca="false">J11-J12</f>
        <v>283060000</v>
      </c>
      <c r="K13" s="37" t="n">
        <f aca="false">K11-K12</f>
        <v>2830600000</v>
      </c>
      <c r="L13" s="8"/>
    </row>
    <row r="14" customFormat="false" ht="15" hidden="false" customHeight="false" outlineLevel="0" collapsed="false">
      <c r="A14" s="6" t="s">
        <v>262</v>
      </c>
      <c r="B14" s="12" t="s">
        <v>99</v>
      </c>
      <c r="C14" s="23" t="n">
        <f aca="false">IF(C11=0,0,C13/C11)</f>
        <v>0.837538461538462</v>
      </c>
      <c r="D14" s="23" t="n">
        <f aca="false">IF(D11=0,0,D13/D11)</f>
        <v>0.837538461538462</v>
      </c>
      <c r="E14" s="23" t="n">
        <f aca="false">IF(E11=0,0,E13/E11)</f>
        <v>0.837538461538462</v>
      </c>
      <c r="F14" s="23" t="n">
        <f aca="false">IF(F11=0,0,F13/F11)</f>
        <v>0.980112994350283</v>
      </c>
      <c r="G14" s="23" t="n">
        <f aca="false">IF(G11=0,0,G13/G11)</f>
        <v>0.980112994350283</v>
      </c>
      <c r="H14" s="23" t="n">
        <f aca="false">IF(H11=0,0,H13/H11)</f>
        <v>0.980112994350283</v>
      </c>
      <c r="I14" s="23" t="n">
        <f aca="false">IF(I11=0,0,I13/I11)</f>
        <v>0.997568281938326</v>
      </c>
      <c r="J14" s="23" t="n">
        <f aca="false">IF(J11=0,0,J13/J11)</f>
        <v>0.997568281938326</v>
      </c>
      <c r="K14" s="23" t="n">
        <f aca="false">IF(K11=0,0,K13/K11)</f>
        <v>0.997568281938326</v>
      </c>
      <c r="L14" s="8"/>
    </row>
    <row r="15" customFormat="false" ht="22.35" hidden="false" customHeight="false" outlineLevel="0" collapsed="false">
      <c r="A15" s="6" t="s">
        <v>391</v>
      </c>
      <c r="B15" s="12" t="s">
        <v>123</v>
      </c>
      <c r="C15" s="14" t="n">
        <f aca="false">IF(C$5&lt;=10,Assumptions!$C$34,IF(C$5&lt;=100,Assumptions!$C$35,Assumptions!$C$36))</f>
        <v>0</v>
      </c>
      <c r="D15" s="14" t="n">
        <f aca="false">IF(D$5&lt;=10,Assumptions!$C$34,IF(D$5&lt;=100,Assumptions!$C$35,Assumptions!$C$36))</f>
        <v>2</v>
      </c>
      <c r="E15" s="14" t="n">
        <f aca="false">IF(E$5&lt;=10,Assumptions!$C$34,IF(E$5&lt;=100,Assumptions!$C$35,Assumptions!$C$36))</f>
        <v>4</v>
      </c>
      <c r="F15" s="14" t="n">
        <f aca="false">IF(F$5&lt;=10,Assumptions!$D$34,IF(F$5&lt;=100,Assumptions!$D$35,Assumptions!$D$36))</f>
        <v>0</v>
      </c>
      <c r="G15" s="14" t="n">
        <f aca="false">IF(G$5&lt;=10,Assumptions!$D$34,IF(G$5&lt;=100,Assumptions!$D$35,Assumptions!$D$36))</f>
        <v>1</v>
      </c>
      <c r="H15" s="14" t="n">
        <f aca="false">IF(H$5&lt;=10,Assumptions!$D$34,IF(H$5&lt;=100,Assumptions!$D$35,Assumptions!$D$36))</f>
        <v>2</v>
      </c>
      <c r="I15" s="14" t="n">
        <f aca="false">IF(I$5&lt;=10,Assumptions!$E$34,IF(I$5&lt;=100,Assumptions!$E$35,Assumptions!$E$36))</f>
        <v>0</v>
      </c>
      <c r="J15" s="14" t="n">
        <f aca="false">IF(J$5&lt;=10,Assumptions!$E$34,IF(J$5&lt;=100,Assumptions!$E$35,Assumptions!$E$36))</f>
        <v>1</v>
      </c>
      <c r="K15" s="14" t="n">
        <f aca="false">IF(K$5&lt;=10,Assumptions!$E$34,IF(K$5&lt;=100,Assumptions!$E$35,Assumptions!$E$36))</f>
        <v>2</v>
      </c>
      <c r="L15" s="8" t="s">
        <v>392</v>
      </c>
    </row>
    <row r="16" customFormat="false" ht="15" hidden="false" customHeight="false" outlineLevel="0" collapsed="false">
      <c r="A16" s="6" t="s">
        <v>393</v>
      </c>
      <c r="B16" s="12" t="s">
        <v>251</v>
      </c>
      <c r="C16" s="16" t="n">
        <f aca="false">'Path to first revenue'!$B$6*12</f>
        <v>600000</v>
      </c>
      <c r="D16" s="16" t="n">
        <f aca="false">'Path to first revenue'!$B$6*12</f>
        <v>600000</v>
      </c>
      <c r="E16" s="16" t="n">
        <f aca="false">'Path to first revenue'!$B$6*12</f>
        <v>600000</v>
      </c>
      <c r="F16" s="16" t="n">
        <f aca="false">'Path to first revenue'!$B$6*12</f>
        <v>600000</v>
      </c>
      <c r="G16" s="16" t="n">
        <f aca="false">'Path to first revenue'!$B$6*12</f>
        <v>600000</v>
      </c>
      <c r="H16" s="16" t="n">
        <f aca="false">'Path to first revenue'!$B$6*12</f>
        <v>600000</v>
      </c>
      <c r="I16" s="16" t="n">
        <f aca="false">'Path to first revenue'!$B$6*12</f>
        <v>600000</v>
      </c>
      <c r="J16" s="16" t="n">
        <f aca="false">'Path to first revenue'!$B$6*12</f>
        <v>600000</v>
      </c>
      <c r="K16" s="16" t="n">
        <f aca="false">'Path to first revenue'!$B$6*12</f>
        <v>600000</v>
      </c>
      <c r="L16" s="8" t="s">
        <v>394</v>
      </c>
    </row>
    <row r="17" customFormat="false" ht="15" hidden="false" customHeight="false" outlineLevel="0" collapsed="false">
      <c r="A17" s="6" t="s">
        <v>395</v>
      </c>
      <c r="B17" s="12" t="s">
        <v>251</v>
      </c>
      <c r="C17" s="16" t="n">
        <f aca="false">C15*Assumptions!$C$10*12</f>
        <v>0</v>
      </c>
      <c r="D17" s="16" t="n">
        <f aca="false">D15*Assumptions!$C$10*12</f>
        <v>4800000</v>
      </c>
      <c r="E17" s="16" t="n">
        <f aca="false">E15*Assumptions!$C$10*12</f>
        <v>9600000</v>
      </c>
      <c r="F17" s="16" t="n">
        <f aca="false">F15*Assumptions!$D$10*12</f>
        <v>0</v>
      </c>
      <c r="G17" s="16" t="n">
        <f aca="false">G15*Assumptions!$D$10*12</f>
        <v>1800000</v>
      </c>
      <c r="H17" s="16" t="n">
        <f aca="false">H15*Assumptions!$D$10*12</f>
        <v>3600000</v>
      </c>
      <c r="I17" s="16" t="n">
        <f aca="false">I15*Assumptions!$E$10*12</f>
        <v>0</v>
      </c>
      <c r="J17" s="16" t="n">
        <f aca="false">J15*Assumptions!$E$10*12</f>
        <v>1500000</v>
      </c>
      <c r="K17" s="16" t="n">
        <f aca="false">K15*Assumptions!$E$10*12</f>
        <v>3000000</v>
      </c>
      <c r="L17" s="8"/>
    </row>
    <row r="18" customFormat="false" ht="15" hidden="false" customHeight="false" outlineLevel="0" collapsed="false">
      <c r="A18" s="6" t="s">
        <v>396</v>
      </c>
      <c r="B18" s="12" t="s">
        <v>251</v>
      </c>
      <c r="C18" s="16" t="n">
        <f aca="false">Assumptions!$C$11</f>
        <v>400000</v>
      </c>
      <c r="D18" s="16" t="n">
        <f aca="false">Assumptions!$C$11</f>
        <v>400000</v>
      </c>
      <c r="E18" s="16" t="n">
        <f aca="false">Assumptions!$C$11</f>
        <v>400000</v>
      </c>
      <c r="F18" s="16" t="n">
        <f aca="false">Assumptions!$D$11</f>
        <v>300000</v>
      </c>
      <c r="G18" s="16" t="n">
        <f aca="false">Assumptions!$D$11</f>
        <v>300000</v>
      </c>
      <c r="H18" s="16" t="n">
        <f aca="false">Assumptions!$D$11</f>
        <v>300000</v>
      </c>
      <c r="I18" s="16" t="n">
        <f aca="false">Assumptions!$E$11</f>
        <v>250000</v>
      </c>
      <c r="J18" s="16" t="n">
        <f aca="false">Assumptions!$E$11</f>
        <v>250000</v>
      </c>
      <c r="K18" s="16" t="n">
        <f aca="false">Assumptions!$E$11</f>
        <v>250000</v>
      </c>
      <c r="L18" s="8"/>
    </row>
    <row r="19" customFormat="false" ht="15" hidden="false" customHeight="false" outlineLevel="0" collapsed="false">
      <c r="A19" s="6" t="s">
        <v>397</v>
      </c>
      <c r="B19" s="12" t="s">
        <v>251</v>
      </c>
      <c r="C19" s="16" t="n">
        <f aca="false">Assumptions!$C$39</f>
        <v>150000</v>
      </c>
      <c r="D19" s="16" t="n">
        <f aca="false">Assumptions!$C$39</f>
        <v>150000</v>
      </c>
      <c r="E19" s="16" t="n">
        <f aca="false">Assumptions!$C$39</f>
        <v>150000</v>
      </c>
      <c r="F19" s="16" t="n">
        <f aca="false">Assumptions!$D$39</f>
        <v>100000</v>
      </c>
      <c r="G19" s="16" t="n">
        <f aca="false">Assumptions!$D$39</f>
        <v>100000</v>
      </c>
      <c r="H19" s="16" t="n">
        <f aca="false">Assumptions!$D$39</f>
        <v>100000</v>
      </c>
      <c r="I19" s="16" t="n">
        <f aca="false">Assumptions!$E$39</f>
        <v>50000</v>
      </c>
      <c r="J19" s="16" t="n">
        <f aca="false">Assumptions!$E$39</f>
        <v>50000</v>
      </c>
      <c r="K19" s="16" t="n">
        <f aca="false">Assumptions!$E$39</f>
        <v>50000</v>
      </c>
      <c r="L19" s="8"/>
    </row>
    <row r="20" customFormat="false" ht="15" hidden="false" customHeight="false" outlineLevel="0" collapsed="false">
      <c r="A20" s="6" t="s">
        <v>398</v>
      </c>
      <c r="B20" s="12" t="s">
        <v>251</v>
      </c>
      <c r="C20" s="16" t="n">
        <f aca="false">Assumptions!$C$30</f>
        <v>236000</v>
      </c>
      <c r="D20" s="16" t="n">
        <f aca="false">Assumptions!$C$30</f>
        <v>236000</v>
      </c>
      <c r="E20" s="16" t="n">
        <f aca="false">Assumptions!$C$30</f>
        <v>236000</v>
      </c>
      <c r="F20" s="16" t="n">
        <f aca="false">Assumptions!$D$30</f>
        <v>236000</v>
      </c>
      <c r="G20" s="16" t="n">
        <f aca="false">Assumptions!$D$30</f>
        <v>236000</v>
      </c>
      <c r="H20" s="16" t="n">
        <f aca="false">Assumptions!$D$30</f>
        <v>236000</v>
      </c>
      <c r="I20" s="16" t="n">
        <f aca="false">Assumptions!$E$30</f>
        <v>236000</v>
      </c>
      <c r="J20" s="16" t="n">
        <f aca="false">Assumptions!$E$30</f>
        <v>236000</v>
      </c>
      <c r="K20" s="16" t="n">
        <f aca="false">Assumptions!$E$30</f>
        <v>236000</v>
      </c>
      <c r="L20" s="8" t="s">
        <v>399</v>
      </c>
    </row>
    <row r="21" customFormat="false" ht="15" hidden="false" customHeight="false" outlineLevel="0" collapsed="false">
      <c r="A21" s="6" t="s">
        <v>400</v>
      </c>
      <c r="B21" s="12" t="s">
        <v>251</v>
      </c>
      <c r="C21" s="16" t="n">
        <f aca="false">(Assumptions!$C$12+Assumptions!$C$33*Assumptions!$C$13)*Assumptions!$C$4*12</f>
        <v>41760</v>
      </c>
      <c r="D21" s="16" t="n">
        <f aca="false">(Assumptions!$C$12+Assumptions!$C$33*Assumptions!$C$13)*Assumptions!$C$4*12</f>
        <v>41760</v>
      </c>
      <c r="E21" s="16" t="n">
        <f aca="false">(Assumptions!$C$12+Assumptions!$C$33*Assumptions!$C$13)*Assumptions!$C$4*12</f>
        <v>41760</v>
      </c>
      <c r="F21" s="16" t="n">
        <f aca="false">(Assumptions!$D$12+Assumptions!$D$33*Assumptions!$D$13)*Assumptions!$C$4*12</f>
        <v>26100</v>
      </c>
      <c r="G21" s="16" t="n">
        <f aca="false">(Assumptions!$D$12+Assumptions!$D$33*Assumptions!$D$13)*Assumptions!$C$4*12</f>
        <v>26100</v>
      </c>
      <c r="H21" s="16" t="n">
        <f aca="false">(Assumptions!$D$12+Assumptions!$D$33*Assumptions!$D$13)*Assumptions!$C$4*12</f>
        <v>26100</v>
      </c>
      <c r="I21" s="16" t="n">
        <f aca="false">(Assumptions!$E$12+Assumptions!$E$33*Assumptions!$E$13)*Assumptions!$C$4*12</f>
        <v>15660</v>
      </c>
      <c r="J21" s="16" t="n">
        <f aca="false">(Assumptions!$E$12+Assumptions!$E$33*Assumptions!$E$13)*Assumptions!$C$4*12</f>
        <v>15660</v>
      </c>
      <c r="K21" s="16" t="n">
        <f aca="false">(Assumptions!$E$12+Assumptions!$E$33*Assumptions!$E$13)*Assumptions!$C$4*12</f>
        <v>15660</v>
      </c>
      <c r="L21" s="8"/>
    </row>
    <row r="22" customFormat="false" ht="15" hidden="false" customHeight="false" outlineLevel="0" collapsed="false">
      <c r="A22" s="6" t="s">
        <v>401</v>
      </c>
      <c r="B22" s="12" t="s">
        <v>251</v>
      </c>
      <c r="C22" s="16" t="n">
        <f aca="false">C$5*Assumptions!$C$27*'Unit economics'!$C$17</f>
        <v>475000</v>
      </c>
      <c r="D22" s="16" t="n">
        <f aca="false">D$5*Assumptions!$C$27*'Unit economics'!$C$17</f>
        <v>4750000</v>
      </c>
      <c r="E22" s="16" t="n">
        <f aca="false">E$5*Assumptions!$C$27*'Unit economics'!$C$17</f>
        <v>47500000</v>
      </c>
      <c r="F22" s="16" t="n">
        <f aca="false">F$5*Assumptions!$D$27*'Unit economics'!$D$17</f>
        <v>95400</v>
      </c>
      <c r="G22" s="16" t="n">
        <f aca="false">G$5*Assumptions!$D$27*'Unit economics'!$D$17</f>
        <v>954000</v>
      </c>
      <c r="H22" s="16" t="n">
        <f aca="false">H$5*Assumptions!$D$27*'Unit economics'!$D$17</f>
        <v>9540000</v>
      </c>
      <c r="I22" s="16" t="n">
        <f aca="false">I$5*Assumptions!$E$27*'Unit economics'!$E$17</f>
        <v>22600</v>
      </c>
      <c r="J22" s="16" t="n">
        <f aca="false">J$5*Assumptions!$E$27*'Unit economics'!$E$17</f>
        <v>226000</v>
      </c>
      <c r="K22" s="16" t="n">
        <f aca="false">K$5*Assumptions!$E$27*'Unit economics'!$E$17</f>
        <v>2260000</v>
      </c>
      <c r="L22" s="8"/>
    </row>
    <row r="23" customFormat="false" ht="15" hidden="false" customHeight="false" outlineLevel="0" collapsed="false">
      <c r="A23" s="4" t="s">
        <v>402</v>
      </c>
      <c r="B23" s="12" t="s">
        <v>251</v>
      </c>
      <c r="C23" s="37" t="n">
        <f aca="false">SUM(C16:C22)</f>
        <v>1902760</v>
      </c>
      <c r="D23" s="37" t="n">
        <f aca="false">SUM(D16:D22)</f>
        <v>10977760</v>
      </c>
      <c r="E23" s="37" t="n">
        <f aca="false">SUM(E16:E22)</f>
        <v>58527760</v>
      </c>
      <c r="F23" s="37" t="n">
        <f aca="false">SUM(F16:F22)</f>
        <v>1357500</v>
      </c>
      <c r="G23" s="37" t="n">
        <f aca="false">SUM(G16:G22)</f>
        <v>4016100</v>
      </c>
      <c r="H23" s="37" t="n">
        <f aca="false">SUM(H16:H22)</f>
        <v>14402100</v>
      </c>
      <c r="I23" s="37" t="n">
        <f aca="false">SUM(I16:I22)</f>
        <v>1174260</v>
      </c>
      <c r="J23" s="37" t="n">
        <f aca="false">SUM(J16:J22)</f>
        <v>2877660</v>
      </c>
      <c r="K23" s="37" t="n">
        <f aca="false">SUM(K16:K22)</f>
        <v>6411660</v>
      </c>
      <c r="L23" s="8"/>
    </row>
    <row r="24" customFormat="false" ht="15" hidden="false" customHeight="false" outlineLevel="0" collapsed="false">
      <c r="A24" s="4" t="s">
        <v>403</v>
      </c>
      <c r="B24" s="12" t="s">
        <v>251</v>
      </c>
      <c r="C24" s="37" t="n">
        <f aca="false">C13-C23</f>
        <v>-541760</v>
      </c>
      <c r="D24" s="37" t="n">
        <f aca="false">D13-D23</f>
        <v>2632240</v>
      </c>
      <c r="E24" s="37" t="n">
        <f aca="false">E13-E23</f>
        <v>77572240</v>
      </c>
      <c r="F24" s="37" t="n">
        <f aca="false">F13-F23</f>
        <v>5148000</v>
      </c>
      <c r="G24" s="37" t="n">
        <f aca="false">G13-G23</f>
        <v>61038900</v>
      </c>
      <c r="H24" s="37" t="n">
        <f aca="false">H13-H23</f>
        <v>636147900</v>
      </c>
      <c r="I24" s="37" t="n">
        <f aca="false">I13-I23</f>
        <v>27131740</v>
      </c>
      <c r="J24" s="37" t="n">
        <f aca="false">J13-J23</f>
        <v>280182340</v>
      </c>
      <c r="K24" s="37" t="n">
        <f aca="false">K13-K23</f>
        <v>2824188340</v>
      </c>
      <c r="L24" s="8"/>
    </row>
    <row r="25" customFormat="false" ht="15" hidden="false" customHeight="false" outlineLevel="0" collapsed="false">
      <c r="A25" s="6" t="s">
        <v>404</v>
      </c>
      <c r="B25" s="12" t="s">
        <v>99</v>
      </c>
      <c r="C25" s="23" t="n">
        <f aca="false">IF(C11=0,0,C24/C11)</f>
        <v>-0.333390769230769</v>
      </c>
      <c r="D25" s="23" t="n">
        <f aca="false">IF(D11=0,0,D24/D11)</f>
        <v>0.161984</v>
      </c>
      <c r="E25" s="23" t="n">
        <f aca="false">IF(E11=0,0,E24/E11)</f>
        <v>0.477367630769231</v>
      </c>
      <c r="F25" s="23" t="n">
        <f aca="false">IF(F11=0,0,F24/F11)</f>
        <v>0.775593220338983</v>
      </c>
      <c r="G25" s="23" t="n">
        <f aca="false">IF(G11=0,0,G24/G11)</f>
        <v>0.919606779661017</v>
      </c>
      <c r="H25" s="23" t="n">
        <f aca="false">IF(H11=0,0,H24/H11)</f>
        <v>0.958414915254237</v>
      </c>
      <c r="I25" s="23" t="n">
        <f aca="false">IF(I11=0,0,I24/I11)</f>
        <v>0.956184669603524</v>
      </c>
      <c r="J25" s="23" t="n">
        <f aca="false">IF(J11=0,0,J24/J11)</f>
        <v>0.987426748898678</v>
      </c>
      <c r="K25" s="23" t="n">
        <f aca="false">IF(K11=0,0,K24/K11)</f>
        <v>0.995308666079295</v>
      </c>
      <c r="L25" s="8"/>
    </row>
    <row r="26" customFormat="false" ht="15" hidden="false" customHeight="false" outlineLevel="0" collapsed="false">
      <c r="A26" s="6" t="s">
        <v>405</v>
      </c>
      <c r="B26" s="12" t="s">
        <v>385</v>
      </c>
      <c r="C26" s="14" t="n">
        <f aca="false">Assumptions!$C$15</f>
        <v>900</v>
      </c>
      <c r="D26" s="14" t="n">
        <f aca="false">Assumptions!$C$15</f>
        <v>900</v>
      </c>
      <c r="E26" s="14" t="n">
        <f aca="false">Assumptions!$C$15</f>
        <v>900</v>
      </c>
      <c r="F26" s="14" t="n">
        <f aca="false">Assumptions!$D$15</f>
        <v>1500</v>
      </c>
      <c r="G26" s="14" t="n">
        <f aca="false">Assumptions!$D$15</f>
        <v>1500</v>
      </c>
      <c r="H26" s="14" t="n">
        <f aca="false">Assumptions!$D$15</f>
        <v>1500</v>
      </c>
      <c r="I26" s="14" t="n">
        <f aca="false">Assumptions!$E$15</f>
        <v>3000</v>
      </c>
      <c r="J26" s="14" t="n">
        <f aca="false">Assumptions!$E$15</f>
        <v>3000</v>
      </c>
      <c r="K26" s="14" t="n">
        <f aca="false">Assumptions!$E$15</f>
        <v>3000</v>
      </c>
      <c r="L26" s="8"/>
    </row>
    <row r="27" customFormat="false" ht="15" hidden="false" customHeight="false" outlineLevel="0" collapsed="false">
      <c r="A27" s="6" t="s">
        <v>406</v>
      </c>
      <c r="B27" s="12" t="s">
        <v>385</v>
      </c>
      <c r="C27" s="27" t="n">
        <f aca="false">Assumptions!$C$15*Assumptions!$C$25</f>
        <v>45</v>
      </c>
      <c r="D27" s="27" t="n">
        <f aca="false">Assumptions!$C$15*Assumptions!$C$25</f>
        <v>45</v>
      </c>
      <c r="E27" s="27" t="n">
        <f aca="false">Assumptions!$C$15*Assumptions!$C$25</f>
        <v>45</v>
      </c>
      <c r="F27" s="27" t="n">
        <f aca="false">Assumptions!$D$15*Assumptions!$D$25</f>
        <v>150</v>
      </c>
      <c r="G27" s="27" t="n">
        <f aca="false">Assumptions!$D$15*Assumptions!$D$25</f>
        <v>150</v>
      </c>
      <c r="H27" s="27" t="n">
        <f aca="false">Assumptions!$D$15*Assumptions!$D$25</f>
        <v>150</v>
      </c>
      <c r="I27" s="27" t="n">
        <f aca="false">Assumptions!$E$15*Assumptions!$E$25</f>
        <v>600</v>
      </c>
      <c r="J27" s="27" t="n">
        <f aca="false">Assumptions!$E$15*Assumptions!$E$25</f>
        <v>600</v>
      </c>
      <c r="K27" s="27" t="n">
        <f aca="false">Assumptions!$E$15*Assumptions!$E$25</f>
        <v>600</v>
      </c>
      <c r="L27" s="8"/>
    </row>
    <row r="28" customFormat="false" ht="15" hidden="false" customHeight="false" outlineLevel="0" collapsed="false">
      <c r="A28" s="4" t="s">
        <v>407</v>
      </c>
      <c r="B28" s="12"/>
      <c r="C28" s="4" t="str">
        <f aca="false">IF(C$5&gt;Assumptions!$C$15,"EXCEEDS reachable segment",IF(C$5&gt;Assumptions!$C$15*Assumptions!$C$25,"Needs "&amp;TEXT(C$5/Assumptions!$C$15,"0%")&amp;" of segment (&gt; win rate)","Within reach"))</f>
        <v>Within reach</v>
      </c>
      <c r="D28" s="4" t="str">
        <f aca="false">IF(D$5&gt;Assumptions!$C$15,"EXCEEDS reachable segment",IF(D$5&gt;Assumptions!$C$15*Assumptions!$C$25,"Needs "&amp;TEXT(D$5/Assumptions!$C$15,"0%")&amp;" of segment (&gt; win rate)","Within reach"))</f>
        <v>Needs 11% of segment (&gt; win rate)</v>
      </c>
      <c r="E28" s="4" t="str">
        <f aca="false">IF(E$5&gt;Assumptions!$C$15,"EXCEEDS reachable segment",IF(E$5&gt;Assumptions!$C$15*Assumptions!$C$25,"Needs "&amp;TEXT(E$5/Assumptions!$C$15,"0%")&amp;" of segment (&gt; win rate)","Within reach"))</f>
        <v>EXCEEDS reachable segment</v>
      </c>
      <c r="F28" s="4" t="str">
        <f aca="false">IF(F$5&gt;Assumptions!$D$15,"EXCEEDS reachable segment",IF(F$5&gt;Assumptions!$D$15*Assumptions!$D$25,"Needs "&amp;TEXT(F$5/Assumptions!$D$15,"0%")&amp;" of segment (&gt; win rate)","Within reach"))</f>
        <v>Within reach</v>
      </c>
      <c r="G28" s="4" t="str">
        <f aca="false">IF(G$5&gt;Assumptions!$D$15,"EXCEEDS reachable segment",IF(G$5&gt;Assumptions!$D$15*Assumptions!$D$25,"Needs "&amp;TEXT(G$5/Assumptions!$D$15,"0%")&amp;" of segment (&gt; win rate)","Within reach"))</f>
        <v>Within reach</v>
      </c>
      <c r="H28" s="4" t="str">
        <f aca="false">IF(H$5&gt;Assumptions!$D$15,"EXCEEDS reachable segment",IF(H$5&gt;Assumptions!$D$15*Assumptions!$D$25,"Needs "&amp;TEXT(H$5/Assumptions!$D$15,"0%")&amp;" of segment (&gt; win rate)","Within reach"))</f>
        <v>Needs 67% of segment (&gt; win rate)</v>
      </c>
      <c r="I28" s="4" t="str">
        <f aca="false">IF(I$5&gt;Assumptions!$E$15,"EXCEEDS reachable segment",IF(I$5&gt;Assumptions!$E$15*Assumptions!$E$25,"Needs "&amp;TEXT(I$5/Assumptions!$E$15,"0%")&amp;" of segment (&gt; win rate)","Within reach"))</f>
        <v>Within reach</v>
      </c>
      <c r="J28" s="4" t="str">
        <f aca="false">IF(J$5&gt;Assumptions!$E$15,"EXCEEDS reachable segment",IF(J$5&gt;Assumptions!$E$15*Assumptions!$E$25,"Needs "&amp;TEXT(J$5/Assumptions!$E$15,"0%")&amp;" of segment (&gt; win rate)","Within reach"))</f>
        <v>Within reach</v>
      </c>
      <c r="K28" s="4" t="str">
        <f aca="false">IF(K$5&gt;Assumptions!$E$15,"EXCEEDS reachable segment",IF(K$5&gt;Assumptions!$E$15*Assumptions!$E$25,"Needs "&amp;TEXT(K$5/Assumptions!$E$15,"0%")&amp;" of segment (&gt; win rate)","Within reach"))</f>
        <v>Needs 33% of segment (&gt; win rate)</v>
      </c>
      <c r="L28" s="8"/>
    </row>
    <row r="30" customFormat="false" ht="15" hidden="false" customHeight="false" outlineLevel="0" collapsed="false">
      <c r="A30" s="10" t="s">
        <v>277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false" outlineLevel="0" collapsed="false">
      <c r="A31" s="6" t="s">
        <v>384</v>
      </c>
      <c r="B31" s="12" t="s">
        <v>385</v>
      </c>
      <c r="C31" s="14" t="n">
        <f aca="false">C$5</f>
        <v>10</v>
      </c>
      <c r="D31" s="14" t="n">
        <f aca="false">D$5</f>
        <v>100</v>
      </c>
      <c r="E31" s="14" t="n">
        <f aca="false">E$5</f>
        <v>1000</v>
      </c>
      <c r="F31" s="14" t="n">
        <f aca="false">F$5</f>
        <v>10</v>
      </c>
      <c r="G31" s="14" t="n">
        <f aca="false">G$5</f>
        <v>100</v>
      </c>
      <c r="H31" s="14" t="n">
        <f aca="false">H$5</f>
        <v>1000</v>
      </c>
      <c r="I31" s="14" t="n">
        <f aca="false">I$5</f>
        <v>10</v>
      </c>
      <c r="J31" s="14" t="n">
        <f aca="false">J$5</f>
        <v>100</v>
      </c>
      <c r="K31" s="14" t="n">
        <f aca="false">K$5</f>
        <v>1000</v>
      </c>
      <c r="L31" s="8"/>
    </row>
    <row r="32" customFormat="false" ht="15" hidden="false" customHeight="false" outlineLevel="0" collapsed="false">
      <c r="A32" s="6" t="s">
        <v>386</v>
      </c>
      <c r="B32" s="12" t="s">
        <v>251</v>
      </c>
      <c r="C32" s="16" t="n">
        <f aca="false">C$5*'Unit economics'!$C$29</f>
        <v>3000000</v>
      </c>
      <c r="D32" s="16" t="n">
        <f aca="false">D$5*'Unit economics'!$C$29</f>
        <v>30000000</v>
      </c>
      <c r="E32" s="16" t="n">
        <f aca="false">E$5*'Unit economics'!$C$29</f>
        <v>300000000</v>
      </c>
      <c r="F32" s="16" t="n">
        <f aca="false">F$5*'Unit economics'!$D$29</f>
        <v>6000000</v>
      </c>
      <c r="G32" s="16" t="n">
        <f aca="false">G$5*'Unit economics'!$D$29</f>
        <v>60000000</v>
      </c>
      <c r="H32" s="16" t="n">
        <f aca="false">H$5*'Unit economics'!$D$29</f>
        <v>600000000</v>
      </c>
      <c r="I32" s="16" t="n">
        <f aca="false">I$5*'Unit economics'!$E$29</f>
        <v>14000000</v>
      </c>
      <c r="J32" s="16" t="n">
        <f aca="false">J$5*'Unit economics'!$E$29</f>
        <v>140000000</v>
      </c>
      <c r="K32" s="16" t="n">
        <f aca="false">K$5*'Unit economics'!$E$29</f>
        <v>1400000000</v>
      </c>
      <c r="L32" s="8"/>
    </row>
    <row r="33" customFormat="false" ht="15" hidden="false" customHeight="false" outlineLevel="0" collapsed="false">
      <c r="A33" s="6" t="s">
        <v>387</v>
      </c>
      <c r="B33" s="12" t="s">
        <v>251</v>
      </c>
      <c r="C33" s="16" t="n">
        <f aca="false">C$5*Assumptions!$C$50*'Unit economics'!$C$28</f>
        <v>0</v>
      </c>
      <c r="D33" s="16" t="n">
        <f aca="false">D$5*Assumptions!$C$50*'Unit economics'!$C$28</f>
        <v>0</v>
      </c>
      <c r="E33" s="16" t="n">
        <f aca="false">E$5*Assumptions!$C$50*'Unit economics'!$C$28</f>
        <v>0</v>
      </c>
      <c r="F33" s="16" t="n">
        <f aca="false">F$5*Assumptions!$D$50*'Unit economics'!$D$28</f>
        <v>0</v>
      </c>
      <c r="G33" s="16" t="n">
        <f aca="false">G$5*Assumptions!$D$50*'Unit economics'!$D$28</f>
        <v>0</v>
      </c>
      <c r="H33" s="16" t="n">
        <f aca="false">H$5*Assumptions!$D$50*'Unit economics'!$D$28</f>
        <v>0</v>
      </c>
      <c r="I33" s="16" t="n">
        <f aca="false">I$5*Assumptions!$E$50*'Unit economics'!$E$28</f>
        <v>0</v>
      </c>
      <c r="J33" s="16" t="n">
        <f aca="false">J$5*Assumptions!$E$50*'Unit economics'!$E$28</f>
        <v>0</v>
      </c>
      <c r="K33" s="16" t="n">
        <f aca="false">K$5*Assumptions!$E$50*'Unit economics'!$E$28</f>
        <v>0</v>
      </c>
      <c r="L33" s="8"/>
    </row>
    <row r="34" customFormat="false" ht="15" hidden="false" customHeight="false" outlineLevel="0" collapsed="false">
      <c r="A34" s="4" t="s">
        <v>388</v>
      </c>
      <c r="B34" s="12" t="s">
        <v>251</v>
      </c>
      <c r="C34" s="37" t="n">
        <f aca="false">C32+C33</f>
        <v>3000000</v>
      </c>
      <c r="D34" s="37" t="n">
        <f aca="false">D32+D33</f>
        <v>30000000</v>
      </c>
      <c r="E34" s="37" t="n">
        <f aca="false">E32+E33</f>
        <v>300000000</v>
      </c>
      <c r="F34" s="37" t="n">
        <f aca="false">F32+F33</f>
        <v>6000000</v>
      </c>
      <c r="G34" s="37" t="n">
        <f aca="false">G32+G33</f>
        <v>60000000</v>
      </c>
      <c r="H34" s="37" t="n">
        <f aca="false">H32+H33</f>
        <v>600000000</v>
      </c>
      <c r="I34" s="37" t="n">
        <f aca="false">I32+I33</f>
        <v>14000000</v>
      </c>
      <c r="J34" s="37" t="n">
        <f aca="false">J32+J33</f>
        <v>140000000</v>
      </c>
      <c r="K34" s="37" t="n">
        <f aca="false">K32+K33</f>
        <v>1400000000</v>
      </c>
      <c r="L34" s="8"/>
    </row>
    <row r="35" customFormat="false" ht="15" hidden="false" customHeight="false" outlineLevel="0" collapsed="false">
      <c r="A35" s="6" t="s">
        <v>389</v>
      </c>
      <c r="B35" s="12" t="s">
        <v>251</v>
      </c>
      <c r="C35" s="16" t="n">
        <f aca="false">C$5*'Unit economics'!$C$32</f>
        <v>192000</v>
      </c>
      <c r="D35" s="16" t="n">
        <f aca="false">D$5*'Unit economics'!$C$32</f>
        <v>1920000</v>
      </c>
      <c r="E35" s="16" t="n">
        <f aca="false">E$5*'Unit economics'!$C$32</f>
        <v>19200000</v>
      </c>
      <c r="F35" s="16" t="n">
        <f aca="false">F$5*'Unit economics'!$D$32</f>
        <v>102000</v>
      </c>
      <c r="G35" s="16" t="n">
        <f aca="false">G$5*'Unit economics'!$D$32</f>
        <v>1020000</v>
      </c>
      <c r="H35" s="16" t="n">
        <f aca="false">H$5*'Unit economics'!$D$32</f>
        <v>10200000</v>
      </c>
      <c r="I35" s="16" t="n">
        <f aca="false">I$5*'Unit economics'!$E$32</f>
        <v>45000</v>
      </c>
      <c r="J35" s="16" t="n">
        <f aca="false">J$5*'Unit economics'!$E$32</f>
        <v>450000</v>
      </c>
      <c r="K35" s="16" t="n">
        <f aca="false">K$5*'Unit economics'!$E$32</f>
        <v>4500000</v>
      </c>
      <c r="L35" s="8"/>
    </row>
    <row r="36" customFormat="false" ht="15" hidden="false" customHeight="false" outlineLevel="0" collapsed="false">
      <c r="A36" s="4" t="s">
        <v>390</v>
      </c>
      <c r="B36" s="12" t="s">
        <v>251</v>
      </c>
      <c r="C36" s="37" t="n">
        <f aca="false">C34-C35</f>
        <v>2808000</v>
      </c>
      <c r="D36" s="37" t="n">
        <f aca="false">D34-D35</f>
        <v>28080000</v>
      </c>
      <c r="E36" s="37" t="n">
        <f aca="false">E34-E35</f>
        <v>280800000</v>
      </c>
      <c r="F36" s="37" t="n">
        <f aca="false">F34-F35</f>
        <v>5898000</v>
      </c>
      <c r="G36" s="37" t="n">
        <f aca="false">G34-G35</f>
        <v>58980000</v>
      </c>
      <c r="H36" s="37" t="n">
        <f aca="false">H34-H35</f>
        <v>589800000</v>
      </c>
      <c r="I36" s="37" t="n">
        <f aca="false">I34-I35</f>
        <v>13955000</v>
      </c>
      <c r="J36" s="37" t="n">
        <f aca="false">J34-J35</f>
        <v>139550000</v>
      </c>
      <c r="K36" s="37" t="n">
        <f aca="false">K34-K35</f>
        <v>1395500000</v>
      </c>
      <c r="L36" s="8"/>
    </row>
    <row r="37" customFormat="false" ht="15" hidden="false" customHeight="false" outlineLevel="0" collapsed="false">
      <c r="A37" s="6" t="s">
        <v>262</v>
      </c>
      <c r="B37" s="12" t="s">
        <v>99</v>
      </c>
      <c r="C37" s="23" t="n">
        <f aca="false">IF(C34=0,0,C36/C34)</f>
        <v>0.936</v>
      </c>
      <c r="D37" s="23" t="n">
        <f aca="false">IF(D34=0,0,D36/D34)</f>
        <v>0.936</v>
      </c>
      <c r="E37" s="23" t="n">
        <f aca="false">IF(E34=0,0,E36/E34)</f>
        <v>0.936</v>
      </c>
      <c r="F37" s="23" t="n">
        <f aca="false">IF(F34=0,0,F36/F34)</f>
        <v>0.983</v>
      </c>
      <c r="G37" s="23" t="n">
        <f aca="false">IF(G34=0,0,G36/G34)</f>
        <v>0.983</v>
      </c>
      <c r="H37" s="23" t="n">
        <f aca="false">IF(H34=0,0,H36/H34)</f>
        <v>0.983</v>
      </c>
      <c r="I37" s="23" t="n">
        <f aca="false">IF(I34=0,0,I36/I34)</f>
        <v>0.996785714285714</v>
      </c>
      <c r="J37" s="23" t="n">
        <f aca="false">IF(J34=0,0,J36/J34)</f>
        <v>0.996785714285714</v>
      </c>
      <c r="K37" s="23" t="n">
        <f aca="false">IF(K34=0,0,K36/K34)</f>
        <v>0.996785714285714</v>
      </c>
      <c r="L37" s="8"/>
    </row>
    <row r="38" customFormat="false" ht="22.35" hidden="false" customHeight="false" outlineLevel="0" collapsed="false">
      <c r="A38" s="6" t="s">
        <v>391</v>
      </c>
      <c r="B38" s="12" t="s">
        <v>123</v>
      </c>
      <c r="C38" s="14" t="n">
        <f aca="false">IF(C$5&lt;=10,Assumptions!$C$58,IF(C$5&lt;=100,Assumptions!$C$59,Assumptions!$C$60))</f>
        <v>0</v>
      </c>
      <c r="D38" s="14" t="n">
        <f aca="false">IF(D$5&lt;=10,Assumptions!$C$58,IF(D$5&lt;=100,Assumptions!$C$59,Assumptions!$C$60))</f>
        <v>2</v>
      </c>
      <c r="E38" s="14" t="n">
        <f aca="false">IF(E$5&lt;=10,Assumptions!$C$58,IF(E$5&lt;=100,Assumptions!$C$59,Assumptions!$C$60))</f>
        <v>3</v>
      </c>
      <c r="F38" s="14" t="n">
        <f aca="false">IF(F$5&lt;=10,Assumptions!$D$58,IF(F$5&lt;=100,Assumptions!$D$59,Assumptions!$D$60))</f>
        <v>0</v>
      </c>
      <c r="G38" s="14" t="n">
        <f aca="false">IF(G$5&lt;=10,Assumptions!$D$58,IF(G$5&lt;=100,Assumptions!$D$59,Assumptions!$D$60))</f>
        <v>1</v>
      </c>
      <c r="H38" s="14" t="n">
        <f aca="false">IF(H$5&lt;=10,Assumptions!$D$58,IF(H$5&lt;=100,Assumptions!$D$59,Assumptions!$D$60))</f>
        <v>2</v>
      </c>
      <c r="I38" s="14" t="n">
        <f aca="false">IF(I$5&lt;=10,Assumptions!$E$58,IF(I$5&lt;=100,Assumptions!$E$59,Assumptions!$E$60))</f>
        <v>0</v>
      </c>
      <c r="J38" s="14" t="n">
        <f aca="false">IF(J$5&lt;=10,Assumptions!$E$58,IF(J$5&lt;=100,Assumptions!$E$59,Assumptions!$E$60))</f>
        <v>1</v>
      </c>
      <c r="K38" s="14" t="n">
        <f aca="false">IF(K$5&lt;=10,Assumptions!$E$58,IF(K$5&lt;=100,Assumptions!$E$59,Assumptions!$E$60))</f>
        <v>2</v>
      </c>
      <c r="L38" s="8" t="s">
        <v>392</v>
      </c>
    </row>
    <row r="39" customFormat="false" ht="15" hidden="false" customHeight="false" outlineLevel="0" collapsed="false">
      <c r="A39" s="6" t="s">
        <v>393</v>
      </c>
      <c r="B39" s="12" t="s">
        <v>251</v>
      </c>
      <c r="C39" s="16" t="n">
        <f aca="false">'Path to first revenue'!$B$6*12</f>
        <v>600000</v>
      </c>
      <c r="D39" s="16" t="n">
        <f aca="false">'Path to first revenue'!$B$6*12</f>
        <v>600000</v>
      </c>
      <c r="E39" s="16" t="n">
        <f aca="false">'Path to first revenue'!$B$6*12</f>
        <v>600000</v>
      </c>
      <c r="F39" s="16" t="n">
        <f aca="false">'Path to first revenue'!$B$6*12</f>
        <v>600000</v>
      </c>
      <c r="G39" s="16" t="n">
        <f aca="false">'Path to first revenue'!$B$6*12</f>
        <v>600000</v>
      </c>
      <c r="H39" s="16" t="n">
        <f aca="false">'Path to first revenue'!$B$6*12</f>
        <v>600000</v>
      </c>
      <c r="I39" s="16" t="n">
        <f aca="false">'Path to first revenue'!$B$6*12</f>
        <v>600000</v>
      </c>
      <c r="J39" s="16" t="n">
        <f aca="false">'Path to first revenue'!$B$6*12</f>
        <v>600000</v>
      </c>
      <c r="K39" s="16" t="n">
        <f aca="false">'Path to first revenue'!$B$6*12</f>
        <v>600000</v>
      </c>
      <c r="L39" s="8" t="s">
        <v>394</v>
      </c>
    </row>
    <row r="40" customFormat="false" ht="15" hidden="false" customHeight="false" outlineLevel="0" collapsed="false">
      <c r="A40" s="6" t="s">
        <v>395</v>
      </c>
      <c r="B40" s="12" t="s">
        <v>251</v>
      </c>
      <c r="C40" s="16" t="n">
        <f aca="false">C38*Assumptions!$C$10*12</f>
        <v>0</v>
      </c>
      <c r="D40" s="16" t="n">
        <f aca="false">D38*Assumptions!$C$10*12</f>
        <v>4800000</v>
      </c>
      <c r="E40" s="16" t="n">
        <f aca="false">E38*Assumptions!$C$10*12</f>
        <v>7200000</v>
      </c>
      <c r="F40" s="16" t="n">
        <f aca="false">F38*Assumptions!$D$10*12</f>
        <v>0</v>
      </c>
      <c r="G40" s="16" t="n">
        <f aca="false">G38*Assumptions!$D$10*12</f>
        <v>1800000</v>
      </c>
      <c r="H40" s="16" t="n">
        <f aca="false">H38*Assumptions!$D$10*12</f>
        <v>3600000</v>
      </c>
      <c r="I40" s="16" t="n">
        <f aca="false">I38*Assumptions!$E$10*12</f>
        <v>0</v>
      </c>
      <c r="J40" s="16" t="n">
        <f aca="false">J38*Assumptions!$E$10*12</f>
        <v>1500000</v>
      </c>
      <c r="K40" s="16" t="n">
        <f aca="false">K38*Assumptions!$E$10*12</f>
        <v>3000000</v>
      </c>
      <c r="L40" s="8"/>
    </row>
    <row r="41" customFormat="false" ht="15" hidden="false" customHeight="false" outlineLevel="0" collapsed="false">
      <c r="A41" s="6" t="s">
        <v>396</v>
      </c>
      <c r="B41" s="12" t="s">
        <v>251</v>
      </c>
      <c r="C41" s="16" t="n">
        <f aca="false">Assumptions!$C$11</f>
        <v>400000</v>
      </c>
      <c r="D41" s="16" t="n">
        <f aca="false">Assumptions!$C$11</f>
        <v>400000</v>
      </c>
      <c r="E41" s="16" t="n">
        <f aca="false">Assumptions!$C$11</f>
        <v>400000</v>
      </c>
      <c r="F41" s="16" t="n">
        <f aca="false">Assumptions!$D$11</f>
        <v>300000</v>
      </c>
      <c r="G41" s="16" t="n">
        <f aca="false">Assumptions!$D$11</f>
        <v>300000</v>
      </c>
      <c r="H41" s="16" t="n">
        <f aca="false">Assumptions!$D$11</f>
        <v>300000</v>
      </c>
      <c r="I41" s="16" t="n">
        <f aca="false">Assumptions!$E$11</f>
        <v>250000</v>
      </c>
      <c r="J41" s="16" t="n">
        <f aca="false">Assumptions!$E$11</f>
        <v>250000</v>
      </c>
      <c r="K41" s="16" t="n">
        <f aca="false">Assumptions!$E$11</f>
        <v>250000</v>
      </c>
      <c r="L41" s="8"/>
    </row>
    <row r="42" customFormat="false" ht="15" hidden="false" customHeight="false" outlineLevel="0" collapsed="false">
      <c r="A42" s="6" t="s">
        <v>397</v>
      </c>
      <c r="B42" s="12" t="s">
        <v>251</v>
      </c>
      <c r="C42" s="16" t="n">
        <f aca="false">Assumptions!$C$63</f>
        <v>200000</v>
      </c>
      <c r="D42" s="16" t="n">
        <f aca="false">Assumptions!$C$63</f>
        <v>200000</v>
      </c>
      <c r="E42" s="16" t="n">
        <f aca="false">Assumptions!$C$63</f>
        <v>200000</v>
      </c>
      <c r="F42" s="16" t="n">
        <f aca="false">Assumptions!$D$63</f>
        <v>150000</v>
      </c>
      <c r="G42" s="16" t="n">
        <f aca="false">Assumptions!$D$63</f>
        <v>150000</v>
      </c>
      <c r="H42" s="16" t="n">
        <f aca="false">Assumptions!$D$63</f>
        <v>150000</v>
      </c>
      <c r="I42" s="16" t="n">
        <f aca="false">Assumptions!$E$63</f>
        <v>100000</v>
      </c>
      <c r="J42" s="16" t="n">
        <f aca="false">Assumptions!$E$63</f>
        <v>100000</v>
      </c>
      <c r="K42" s="16" t="n">
        <f aca="false">Assumptions!$E$63</f>
        <v>100000</v>
      </c>
      <c r="L42" s="8"/>
    </row>
    <row r="43" customFormat="false" ht="15" hidden="false" customHeight="false" outlineLevel="0" collapsed="false">
      <c r="A43" s="6" t="s">
        <v>398</v>
      </c>
      <c r="B43" s="12" t="s">
        <v>251</v>
      </c>
      <c r="C43" s="16" t="n">
        <f aca="false">Assumptions!$C$54</f>
        <v>500000</v>
      </c>
      <c r="D43" s="16" t="n">
        <f aca="false">Assumptions!$C$54</f>
        <v>500000</v>
      </c>
      <c r="E43" s="16" t="n">
        <f aca="false">Assumptions!$C$54</f>
        <v>500000</v>
      </c>
      <c r="F43" s="16" t="n">
        <f aca="false">Assumptions!$D$54</f>
        <v>0</v>
      </c>
      <c r="G43" s="16" t="n">
        <f aca="false">Assumptions!$D$54</f>
        <v>0</v>
      </c>
      <c r="H43" s="16" t="n">
        <f aca="false">Assumptions!$D$54</f>
        <v>0</v>
      </c>
      <c r="I43" s="16" t="n">
        <f aca="false">Assumptions!$E$54</f>
        <v>0</v>
      </c>
      <c r="J43" s="16" t="n">
        <f aca="false">Assumptions!$E$54</f>
        <v>0</v>
      </c>
      <c r="K43" s="16" t="n">
        <f aca="false">Assumptions!$E$54</f>
        <v>0</v>
      </c>
      <c r="L43" s="8" t="s">
        <v>408</v>
      </c>
    </row>
    <row r="44" customFormat="false" ht="15" hidden="false" customHeight="false" outlineLevel="0" collapsed="false">
      <c r="A44" s="6" t="s">
        <v>400</v>
      </c>
      <c r="B44" s="12" t="s">
        <v>251</v>
      </c>
      <c r="C44" s="16" t="n">
        <f aca="false">(Assumptions!$C$12+Assumptions!$C$57*Assumptions!$C$13)*Assumptions!$C$4*12</f>
        <v>41760</v>
      </c>
      <c r="D44" s="16" t="n">
        <f aca="false">(Assumptions!$C$12+Assumptions!$C$57*Assumptions!$C$13)*Assumptions!$C$4*12</f>
        <v>41760</v>
      </c>
      <c r="E44" s="16" t="n">
        <f aca="false">(Assumptions!$C$12+Assumptions!$C$57*Assumptions!$C$13)*Assumptions!$C$4*12</f>
        <v>41760</v>
      </c>
      <c r="F44" s="16" t="n">
        <f aca="false">(Assumptions!$D$12+Assumptions!$D$57*Assumptions!$D$13)*Assumptions!$C$4*12</f>
        <v>26100</v>
      </c>
      <c r="G44" s="16" t="n">
        <f aca="false">(Assumptions!$D$12+Assumptions!$D$57*Assumptions!$D$13)*Assumptions!$C$4*12</f>
        <v>26100</v>
      </c>
      <c r="H44" s="16" t="n">
        <f aca="false">(Assumptions!$D$12+Assumptions!$D$57*Assumptions!$D$13)*Assumptions!$C$4*12</f>
        <v>26100</v>
      </c>
      <c r="I44" s="16" t="n">
        <f aca="false">(Assumptions!$E$12+Assumptions!$E$57*Assumptions!$E$13)*Assumptions!$C$4*12</f>
        <v>15660</v>
      </c>
      <c r="J44" s="16" t="n">
        <f aca="false">(Assumptions!$E$12+Assumptions!$E$57*Assumptions!$E$13)*Assumptions!$C$4*12</f>
        <v>15660</v>
      </c>
      <c r="K44" s="16" t="n">
        <f aca="false">(Assumptions!$E$12+Assumptions!$E$57*Assumptions!$E$13)*Assumptions!$C$4*12</f>
        <v>15660</v>
      </c>
      <c r="L44" s="8"/>
    </row>
    <row r="45" customFormat="false" ht="15" hidden="false" customHeight="false" outlineLevel="0" collapsed="false">
      <c r="A45" s="6" t="s">
        <v>401</v>
      </c>
      <c r="B45" s="12" t="s">
        <v>251</v>
      </c>
      <c r="C45" s="16" t="n">
        <f aca="false">C$5*Assumptions!$C$50*'Unit economics'!$C$37</f>
        <v>1374000</v>
      </c>
      <c r="D45" s="16" t="n">
        <f aca="false">D$5*Assumptions!$C$50*'Unit economics'!$C$37</f>
        <v>13740000</v>
      </c>
      <c r="E45" s="16" t="n">
        <f aca="false">E$5*Assumptions!$C$50*'Unit economics'!$C$37</f>
        <v>137400000</v>
      </c>
      <c r="F45" s="16" t="n">
        <f aca="false">F$5*Assumptions!$D$50*'Unit economics'!$D$37</f>
        <v>307900</v>
      </c>
      <c r="G45" s="16" t="n">
        <f aca="false">G$5*Assumptions!$D$50*'Unit economics'!$D$37</f>
        <v>3079000</v>
      </c>
      <c r="H45" s="16" t="n">
        <f aca="false">H$5*Assumptions!$D$50*'Unit economics'!$D$37</f>
        <v>30790000</v>
      </c>
      <c r="I45" s="16" t="n">
        <f aca="false">I$5*Assumptions!$E$50*'Unit economics'!$E$37</f>
        <v>94150</v>
      </c>
      <c r="J45" s="16" t="n">
        <f aca="false">J$5*Assumptions!$E$50*'Unit economics'!$E$37</f>
        <v>941500</v>
      </c>
      <c r="K45" s="16" t="n">
        <f aca="false">K$5*Assumptions!$E$50*'Unit economics'!$E$37</f>
        <v>9415000</v>
      </c>
      <c r="L45" s="8"/>
    </row>
    <row r="46" customFormat="false" ht="15" hidden="false" customHeight="false" outlineLevel="0" collapsed="false">
      <c r="A46" s="4" t="s">
        <v>402</v>
      </c>
      <c r="B46" s="12" t="s">
        <v>251</v>
      </c>
      <c r="C46" s="37" t="n">
        <f aca="false">SUM(C39:C45)</f>
        <v>3115760</v>
      </c>
      <c r="D46" s="37" t="n">
        <f aca="false">SUM(D39:D45)</f>
        <v>20281760</v>
      </c>
      <c r="E46" s="37" t="n">
        <f aca="false">SUM(E39:E45)</f>
        <v>146341760</v>
      </c>
      <c r="F46" s="37" t="n">
        <f aca="false">SUM(F39:F45)</f>
        <v>1384000</v>
      </c>
      <c r="G46" s="37" t="n">
        <f aca="false">SUM(G39:G45)</f>
        <v>5955100</v>
      </c>
      <c r="H46" s="37" t="n">
        <f aca="false">SUM(H39:H45)</f>
        <v>35466100</v>
      </c>
      <c r="I46" s="37" t="n">
        <f aca="false">SUM(I39:I45)</f>
        <v>1059810</v>
      </c>
      <c r="J46" s="37" t="n">
        <f aca="false">SUM(J39:J45)</f>
        <v>3407160</v>
      </c>
      <c r="K46" s="37" t="n">
        <f aca="false">SUM(K39:K45)</f>
        <v>13380660</v>
      </c>
      <c r="L46" s="8"/>
    </row>
    <row r="47" customFormat="false" ht="15" hidden="false" customHeight="false" outlineLevel="0" collapsed="false">
      <c r="A47" s="4" t="s">
        <v>403</v>
      </c>
      <c r="B47" s="12" t="s">
        <v>251</v>
      </c>
      <c r="C47" s="37" t="n">
        <f aca="false">C36-C46</f>
        <v>-307760</v>
      </c>
      <c r="D47" s="37" t="n">
        <f aca="false">D36-D46</f>
        <v>7798240</v>
      </c>
      <c r="E47" s="37" t="n">
        <f aca="false">E36-E46</f>
        <v>134458240</v>
      </c>
      <c r="F47" s="37" t="n">
        <f aca="false">F36-F46</f>
        <v>4514000</v>
      </c>
      <c r="G47" s="37" t="n">
        <f aca="false">G36-G46</f>
        <v>53024900</v>
      </c>
      <c r="H47" s="37" t="n">
        <f aca="false">H36-H46</f>
        <v>554333900</v>
      </c>
      <c r="I47" s="37" t="n">
        <f aca="false">I36-I46</f>
        <v>12895190</v>
      </c>
      <c r="J47" s="37" t="n">
        <f aca="false">J36-J46</f>
        <v>136142840</v>
      </c>
      <c r="K47" s="37" t="n">
        <f aca="false">K36-K46</f>
        <v>1382119340</v>
      </c>
      <c r="L47" s="8"/>
    </row>
    <row r="48" customFormat="false" ht="15" hidden="false" customHeight="false" outlineLevel="0" collapsed="false">
      <c r="A48" s="6" t="s">
        <v>404</v>
      </c>
      <c r="B48" s="12" t="s">
        <v>99</v>
      </c>
      <c r="C48" s="23" t="n">
        <f aca="false">IF(C34=0,0,C47/C34)</f>
        <v>-0.102586666666667</v>
      </c>
      <c r="D48" s="23" t="n">
        <f aca="false">IF(D34=0,0,D47/D34)</f>
        <v>0.259941333333333</v>
      </c>
      <c r="E48" s="23" t="n">
        <f aca="false">IF(E34=0,0,E47/E34)</f>
        <v>0.448194133333333</v>
      </c>
      <c r="F48" s="23" t="n">
        <f aca="false">IF(F34=0,0,F47/F34)</f>
        <v>0.752333333333333</v>
      </c>
      <c r="G48" s="23" t="n">
        <f aca="false">IF(G34=0,0,G47/G34)</f>
        <v>0.883748333333333</v>
      </c>
      <c r="H48" s="23" t="n">
        <f aca="false">IF(H34=0,0,H47/H34)</f>
        <v>0.923889833333333</v>
      </c>
      <c r="I48" s="23" t="n">
        <f aca="false">IF(I34=0,0,I47/I34)</f>
        <v>0.921085</v>
      </c>
      <c r="J48" s="23" t="n">
        <f aca="false">IF(J34=0,0,J47/J34)</f>
        <v>0.972448857142857</v>
      </c>
      <c r="K48" s="23" t="n">
        <f aca="false">IF(K34=0,0,K47/K34)</f>
        <v>0.9872281</v>
      </c>
      <c r="L48" s="8"/>
    </row>
    <row r="49" customFormat="false" ht="15" hidden="false" customHeight="false" outlineLevel="0" collapsed="false">
      <c r="A49" s="6" t="s">
        <v>405</v>
      </c>
      <c r="B49" s="12" t="s">
        <v>385</v>
      </c>
      <c r="C49" s="14" t="n">
        <f aca="false">Assumptions!$C$44</f>
        <v>70</v>
      </c>
      <c r="D49" s="14" t="n">
        <f aca="false">Assumptions!$C$44</f>
        <v>70</v>
      </c>
      <c r="E49" s="14" t="n">
        <f aca="false">Assumptions!$C$44</f>
        <v>70</v>
      </c>
      <c r="F49" s="14" t="n">
        <f aca="false">Assumptions!$D$44</f>
        <v>200</v>
      </c>
      <c r="G49" s="14" t="n">
        <f aca="false">Assumptions!$D$44</f>
        <v>200</v>
      </c>
      <c r="H49" s="14" t="n">
        <f aca="false">Assumptions!$D$44</f>
        <v>200</v>
      </c>
      <c r="I49" s="14" t="n">
        <f aca="false">Assumptions!$E$44</f>
        <v>400</v>
      </c>
      <c r="J49" s="14" t="n">
        <f aca="false">Assumptions!$E$44</f>
        <v>400</v>
      </c>
      <c r="K49" s="14" t="n">
        <f aca="false">Assumptions!$E$44</f>
        <v>400</v>
      </c>
      <c r="L49" s="8"/>
    </row>
    <row r="50" customFormat="false" ht="15" hidden="false" customHeight="false" outlineLevel="0" collapsed="false">
      <c r="A50" s="6" t="s">
        <v>406</v>
      </c>
      <c r="B50" s="12" t="s">
        <v>385</v>
      </c>
      <c r="C50" s="27" t="n">
        <f aca="false">Assumptions!$C$44*Assumptions!$C$48</f>
        <v>3.5</v>
      </c>
      <c r="D50" s="27" t="n">
        <f aca="false">Assumptions!$C$44*Assumptions!$C$48</f>
        <v>3.5</v>
      </c>
      <c r="E50" s="27" t="n">
        <f aca="false">Assumptions!$C$44*Assumptions!$C$48</f>
        <v>3.5</v>
      </c>
      <c r="F50" s="27" t="n">
        <f aca="false">Assumptions!$D$44*Assumptions!$D$48</f>
        <v>20</v>
      </c>
      <c r="G50" s="27" t="n">
        <f aca="false">Assumptions!$D$44*Assumptions!$D$48</f>
        <v>20</v>
      </c>
      <c r="H50" s="27" t="n">
        <f aca="false">Assumptions!$D$44*Assumptions!$D$48</f>
        <v>20</v>
      </c>
      <c r="I50" s="27" t="n">
        <f aca="false">Assumptions!$E$44*Assumptions!$E$48</f>
        <v>60</v>
      </c>
      <c r="J50" s="27" t="n">
        <f aca="false">Assumptions!$E$44*Assumptions!$E$48</f>
        <v>60</v>
      </c>
      <c r="K50" s="27" t="n">
        <f aca="false">Assumptions!$E$44*Assumptions!$E$48</f>
        <v>60</v>
      </c>
      <c r="L50" s="8"/>
    </row>
    <row r="51" customFormat="false" ht="15" hidden="false" customHeight="false" outlineLevel="0" collapsed="false">
      <c r="A51" s="4" t="s">
        <v>407</v>
      </c>
      <c r="B51" s="12"/>
      <c r="C51" s="4" t="str">
        <f aca="false">IF(C$5&gt;Assumptions!$C$44,"EXCEEDS reachable segment",IF(C$5&gt;Assumptions!$C$44*Assumptions!$C$48,"Needs "&amp;TEXT(C$5/Assumptions!$C$44,"0%")&amp;" of segment (&gt; win rate)","Within reach"))</f>
        <v>Needs 14% of segment (&gt; win rate)</v>
      </c>
      <c r="D51" s="4" t="str">
        <f aca="false">IF(D$5&gt;Assumptions!$C$44,"EXCEEDS reachable segment",IF(D$5&gt;Assumptions!$C$44*Assumptions!$C$48,"Needs "&amp;TEXT(D$5/Assumptions!$C$44,"0%")&amp;" of segment (&gt; win rate)","Within reach"))</f>
        <v>EXCEEDS reachable segment</v>
      </c>
      <c r="E51" s="4" t="str">
        <f aca="false">IF(E$5&gt;Assumptions!$C$44,"EXCEEDS reachable segment",IF(E$5&gt;Assumptions!$C$44*Assumptions!$C$48,"Needs "&amp;TEXT(E$5/Assumptions!$C$44,"0%")&amp;" of segment (&gt; win rate)","Within reach"))</f>
        <v>EXCEEDS reachable segment</v>
      </c>
      <c r="F51" s="4" t="str">
        <f aca="false">IF(F$5&gt;Assumptions!$D$44,"EXCEEDS reachable segment",IF(F$5&gt;Assumptions!$D$44*Assumptions!$D$48,"Needs "&amp;TEXT(F$5/Assumptions!$D$44,"0%")&amp;" of segment (&gt; win rate)","Within reach"))</f>
        <v>Within reach</v>
      </c>
      <c r="G51" s="4" t="str">
        <f aca="false">IF(G$5&gt;Assumptions!$D$44,"EXCEEDS reachable segment",IF(G$5&gt;Assumptions!$D$44*Assumptions!$D$48,"Needs "&amp;TEXT(G$5/Assumptions!$D$44,"0%")&amp;" of segment (&gt; win rate)","Within reach"))</f>
        <v>Needs 50% of segment (&gt; win rate)</v>
      </c>
      <c r="H51" s="4" t="str">
        <f aca="false">IF(H$5&gt;Assumptions!$D$44,"EXCEEDS reachable segment",IF(H$5&gt;Assumptions!$D$44*Assumptions!$D$48,"Needs "&amp;TEXT(H$5/Assumptions!$D$44,"0%")&amp;" of segment (&gt; win rate)","Within reach"))</f>
        <v>EXCEEDS reachable segment</v>
      </c>
      <c r="I51" s="4" t="str">
        <f aca="false">IF(I$5&gt;Assumptions!$E$44,"EXCEEDS reachable segment",IF(I$5&gt;Assumptions!$E$44*Assumptions!$E$48,"Needs "&amp;TEXT(I$5/Assumptions!$E$44,"0%")&amp;" of segment (&gt; win rate)","Within reach"))</f>
        <v>Within reach</v>
      </c>
      <c r="J51" s="4" t="str">
        <f aca="false">IF(J$5&gt;Assumptions!$E$44,"EXCEEDS reachable segment",IF(J$5&gt;Assumptions!$E$44*Assumptions!$E$48,"Needs "&amp;TEXT(J$5/Assumptions!$E$44,"0%")&amp;" of segment (&gt; win rate)","Within reach"))</f>
        <v>Needs 25% of segment (&gt; win rate)</v>
      </c>
      <c r="K51" s="4" t="str">
        <f aca="false">IF(K$5&gt;Assumptions!$E$44,"EXCEEDS reachable segment",IF(K$5&gt;Assumptions!$E$44*Assumptions!$E$48,"Needs "&amp;TEXT(K$5/Assumptions!$E$44,"0%")&amp;" of segment (&gt; win rate)","Within reach"))</f>
        <v>EXCEEDS reachable segment</v>
      </c>
      <c r="L51" s="8"/>
    </row>
    <row r="52" customFormat="false" ht="22.35" hidden="false" customHeight="false" outlineLevel="0" collapsed="false">
      <c r="A52" s="4" t="s">
        <v>409</v>
      </c>
      <c r="B52" s="12"/>
      <c r="C52" s="4" t="str">
        <f aca="false">IF(Assumptions!$C$53=1,"Permission assumed","BLOCKED: revenue not bankable until CTUIL permission")</f>
        <v>BLOCKED: revenue not bankable until CTUIL permission</v>
      </c>
      <c r="D52" s="4" t="str">
        <f aca="false">IF(Assumptions!$C$53=1,"Permission assumed","BLOCKED: revenue not bankable until CTUIL permission")</f>
        <v>BLOCKED: revenue not bankable until CTUIL permission</v>
      </c>
      <c r="E52" s="4" t="str">
        <f aca="false">IF(Assumptions!$C$53=1,"Permission assumed","BLOCKED: revenue not bankable until CTUIL permission")</f>
        <v>BLOCKED: revenue not bankable until CTUIL permission</v>
      </c>
      <c r="F52" s="4" t="str">
        <f aca="false">IF(Assumptions!$D$53=1,"Permission assumed","BLOCKED: revenue not bankable until CTUIL permission")</f>
        <v>Permission assumed</v>
      </c>
      <c r="G52" s="4" t="str">
        <f aca="false">IF(Assumptions!$D$53=1,"Permission assumed","BLOCKED: revenue not bankable until CTUIL permission")</f>
        <v>Permission assumed</v>
      </c>
      <c r="H52" s="4" t="str">
        <f aca="false">IF(Assumptions!$D$53=1,"Permission assumed","BLOCKED: revenue not bankable until CTUIL permission")</f>
        <v>Permission assumed</v>
      </c>
      <c r="I52" s="4" t="str">
        <f aca="false">IF(Assumptions!$E$53=1,"Permission assumed","BLOCKED: revenue not bankable until CTUIL permission")</f>
        <v>Permission assumed</v>
      </c>
      <c r="J52" s="4" t="str">
        <f aca="false">IF(Assumptions!$E$53=1,"Permission assumed","BLOCKED: revenue not bankable until CTUIL permission")</f>
        <v>Permission assumed</v>
      </c>
      <c r="K52" s="4" t="str">
        <f aca="false">IF(Assumptions!$E$53=1,"Permission assumed","BLOCKED: revenue not bankable until CTUIL permission")</f>
        <v>Permission assumed</v>
      </c>
      <c r="L52" s="8" t="s">
        <v>410</v>
      </c>
    </row>
    <row r="53" customFormat="false" ht="15" hidden="false" customHeight="false" outlineLevel="0" collapsed="false">
      <c r="A53" s="6" t="s">
        <v>411</v>
      </c>
      <c r="B53" s="12" t="s">
        <v>251</v>
      </c>
      <c r="C53" s="16" t="n">
        <f aca="false">C34*Assumptions!$C$53</f>
        <v>0</v>
      </c>
      <c r="D53" s="16" t="n">
        <f aca="false">D34*Assumptions!$C$53</f>
        <v>0</v>
      </c>
      <c r="E53" s="16" t="n">
        <f aca="false">E34*Assumptions!$C$53</f>
        <v>0</v>
      </c>
      <c r="F53" s="16" t="n">
        <f aca="false">F34*Assumptions!$D$53</f>
        <v>6000000</v>
      </c>
      <c r="G53" s="16" t="n">
        <f aca="false">G34*Assumptions!$D$53</f>
        <v>60000000</v>
      </c>
      <c r="H53" s="16" t="n">
        <f aca="false">H34*Assumptions!$D$53</f>
        <v>600000000</v>
      </c>
      <c r="I53" s="16" t="n">
        <f aca="false">I34*Assumptions!$E$53</f>
        <v>14000000</v>
      </c>
      <c r="J53" s="16" t="n">
        <f aca="false">J34*Assumptions!$E$53</f>
        <v>140000000</v>
      </c>
      <c r="K53" s="16" t="n">
        <f aca="false">K34*Assumptions!$E$53</f>
        <v>1400000000</v>
      </c>
      <c r="L53" s="8"/>
    </row>
    <row r="55" customFormat="false" ht="15" hidden="false" customHeight="false" outlineLevel="0" collapsed="false">
      <c r="A55" s="10" t="s">
        <v>287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customFormat="false" ht="15" hidden="false" customHeight="false" outlineLevel="0" collapsed="false">
      <c r="A56" s="6" t="s">
        <v>384</v>
      </c>
      <c r="B56" s="12" t="s">
        <v>385</v>
      </c>
      <c r="C56" s="14" t="n">
        <f aca="false">C$5</f>
        <v>10</v>
      </c>
      <c r="D56" s="14" t="n">
        <f aca="false">D$5</f>
        <v>100</v>
      </c>
      <c r="E56" s="14" t="n">
        <f aca="false">E$5</f>
        <v>1000</v>
      </c>
      <c r="F56" s="14" t="n">
        <f aca="false">F$5</f>
        <v>10</v>
      </c>
      <c r="G56" s="14" t="n">
        <f aca="false">G$5</f>
        <v>100</v>
      </c>
      <c r="H56" s="14" t="n">
        <f aca="false">H$5</f>
        <v>1000</v>
      </c>
      <c r="I56" s="14" t="n">
        <f aca="false">I$5</f>
        <v>10</v>
      </c>
      <c r="J56" s="14" t="n">
        <f aca="false">J$5</f>
        <v>100</v>
      </c>
      <c r="K56" s="14" t="n">
        <f aca="false">K$5</f>
        <v>1000</v>
      </c>
      <c r="L56" s="8"/>
    </row>
    <row r="57" customFormat="false" ht="15" hidden="false" customHeight="false" outlineLevel="0" collapsed="false">
      <c r="A57" s="6" t="s">
        <v>386</v>
      </c>
      <c r="B57" s="12" t="s">
        <v>251</v>
      </c>
      <c r="C57" s="16" t="n">
        <f aca="false">C$5*'Unit economics'!$C$49</f>
        <v>24000000</v>
      </c>
      <c r="D57" s="16" t="n">
        <f aca="false">D$5*'Unit economics'!$C$49</f>
        <v>240000000</v>
      </c>
      <c r="E57" s="16" t="n">
        <f aca="false">E$5*'Unit economics'!$C$49</f>
        <v>2400000000</v>
      </c>
      <c r="F57" s="16" t="n">
        <f aca="false">F$5*'Unit economics'!$D$49</f>
        <v>105000000</v>
      </c>
      <c r="G57" s="16" t="n">
        <f aca="false">G$5*'Unit economics'!$D$49</f>
        <v>1050000000</v>
      </c>
      <c r="H57" s="16" t="n">
        <f aca="false">H$5*'Unit economics'!$D$49</f>
        <v>10500000000</v>
      </c>
      <c r="I57" s="16" t="n">
        <f aca="false">I$5*'Unit economics'!$E$49</f>
        <v>378240000</v>
      </c>
      <c r="J57" s="16" t="n">
        <f aca="false">J$5*'Unit economics'!$E$49</f>
        <v>3782400000</v>
      </c>
      <c r="K57" s="16" t="n">
        <f aca="false">K$5*'Unit economics'!$E$49</f>
        <v>37824000000</v>
      </c>
      <c r="L57" s="8"/>
    </row>
    <row r="58" customFormat="false" ht="15" hidden="false" customHeight="false" outlineLevel="0" collapsed="false">
      <c r="A58" s="6" t="s">
        <v>387</v>
      </c>
      <c r="B58" s="12" t="s">
        <v>251</v>
      </c>
      <c r="C58" s="16" t="n">
        <f aca="false">C$5*Assumptions!$C$76*'Unit economics'!$C$48</f>
        <v>0</v>
      </c>
      <c r="D58" s="16" t="n">
        <f aca="false">D$5*Assumptions!$C$76*'Unit economics'!$C$48</f>
        <v>0</v>
      </c>
      <c r="E58" s="16" t="n">
        <f aca="false">E$5*Assumptions!$C$76*'Unit economics'!$C$48</f>
        <v>0</v>
      </c>
      <c r="F58" s="16" t="n">
        <f aca="false">F$5*Assumptions!$D$76*'Unit economics'!$D$48</f>
        <v>0</v>
      </c>
      <c r="G58" s="16" t="n">
        <f aca="false">G$5*Assumptions!$D$76*'Unit economics'!$D$48</f>
        <v>0</v>
      </c>
      <c r="H58" s="16" t="n">
        <f aca="false">H$5*Assumptions!$D$76*'Unit economics'!$D$48</f>
        <v>0</v>
      </c>
      <c r="I58" s="16" t="n">
        <f aca="false">I$5*Assumptions!$E$76*'Unit economics'!$E$48</f>
        <v>0</v>
      </c>
      <c r="J58" s="16" t="n">
        <f aca="false">J$5*Assumptions!$E$76*'Unit economics'!$E$48</f>
        <v>0</v>
      </c>
      <c r="K58" s="16" t="n">
        <f aca="false">K$5*Assumptions!$E$76*'Unit economics'!$E$48</f>
        <v>0</v>
      </c>
      <c r="L58" s="8"/>
    </row>
    <row r="59" customFormat="false" ht="15" hidden="false" customHeight="false" outlineLevel="0" collapsed="false">
      <c r="A59" s="4" t="s">
        <v>388</v>
      </c>
      <c r="B59" s="12" t="s">
        <v>251</v>
      </c>
      <c r="C59" s="37" t="n">
        <f aca="false">C57+C58</f>
        <v>24000000</v>
      </c>
      <c r="D59" s="37" t="n">
        <f aca="false">D57+D58</f>
        <v>240000000</v>
      </c>
      <c r="E59" s="37" t="n">
        <f aca="false">E57+E58</f>
        <v>2400000000</v>
      </c>
      <c r="F59" s="37" t="n">
        <f aca="false">F57+F58</f>
        <v>105000000</v>
      </c>
      <c r="G59" s="37" t="n">
        <f aca="false">G57+G58</f>
        <v>1050000000</v>
      </c>
      <c r="H59" s="37" t="n">
        <f aca="false">H57+H58</f>
        <v>10500000000</v>
      </c>
      <c r="I59" s="37" t="n">
        <f aca="false">I57+I58</f>
        <v>378240000</v>
      </c>
      <c r="J59" s="37" t="n">
        <f aca="false">J57+J58</f>
        <v>3782400000</v>
      </c>
      <c r="K59" s="37" t="n">
        <f aca="false">K57+K58</f>
        <v>37824000000</v>
      </c>
      <c r="L59" s="8"/>
    </row>
    <row r="60" customFormat="false" ht="15" hidden="false" customHeight="false" outlineLevel="0" collapsed="false">
      <c r="A60" s="6" t="s">
        <v>389</v>
      </c>
      <c r="B60" s="12" t="s">
        <v>251</v>
      </c>
      <c r="C60" s="16" t="n">
        <f aca="false">C$5*'Unit economics'!$C$51</f>
        <v>840000</v>
      </c>
      <c r="D60" s="16" t="n">
        <f aca="false">D$5*'Unit economics'!$C$51</f>
        <v>8400000</v>
      </c>
      <c r="E60" s="16" t="n">
        <f aca="false">E$5*'Unit economics'!$C$51</f>
        <v>84000000</v>
      </c>
      <c r="F60" s="16" t="n">
        <f aca="false">F$5*'Unit economics'!$D$51</f>
        <v>444000</v>
      </c>
      <c r="G60" s="16" t="n">
        <f aca="false">G$5*'Unit economics'!$D$51</f>
        <v>4440000</v>
      </c>
      <c r="H60" s="16" t="n">
        <f aca="false">H$5*'Unit economics'!$D$51</f>
        <v>44400000</v>
      </c>
      <c r="I60" s="16" t="n">
        <f aca="false">I$5*'Unit economics'!$E$51</f>
        <v>246000</v>
      </c>
      <c r="J60" s="16" t="n">
        <f aca="false">J$5*'Unit economics'!$E$51</f>
        <v>2460000</v>
      </c>
      <c r="K60" s="16" t="n">
        <f aca="false">K$5*'Unit economics'!$E$51</f>
        <v>24600000</v>
      </c>
      <c r="L60" s="8"/>
    </row>
    <row r="61" customFormat="false" ht="15" hidden="false" customHeight="false" outlineLevel="0" collapsed="false">
      <c r="A61" s="4" t="s">
        <v>390</v>
      </c>
      <c r="B61" s="12" t="s">
        <v>251</v>
      </c>
      <c r="C61" s="37" t="n">
        <f aca="false">C59-C60</f>
        <v>23160000</v>
      </c>
      <c r="D61" s="37" t="n">
        <f aca="false">D59-D60</f>
        <v>231600000</v>
      </c>
      <c r="E61" s="37" t="n">
        <f aca="false">E59-E60</f>
        <v>2316000000</v>
      </c>
      <c r="F61" s="37" t="n">
        <f aca="false">F59-F60</f>
        <v>104556000</v>
      </c>
      <c r="G61" s="37" t="n">
        <f aca="false">G59-G60</f>
        <v>1045560000</v>
      </c>
      <c r="H61" s="37" t="n">
        <f aca="false">H59-H60</f>
        <v>10455600000</v>
      </c>
      <c r="I61" s="37" t="n">
        <f aca="false">I59-I60</f>
        <v>377994000</v>
      </c>
      <c r="J61" s="37" t="n">
        <f aca="false">J59-J60</f>
        <v>3779940000</v>
      </c>
      <c r="K61" s="37" t="n">
        <f aca="false">K59-K60</f>
        <v>37799400000</v>
      </c>
      <c r="L61" s="8"/>
    </row>
    <row r="62" customFormat="false" ht="15" hidden="false" customHeight="false" outlineLevel="0" collapsed="false">
      <c r="A62" s="6" t="s">
        <v>262</v>
      </c>
      <c r="B62" s="12" t="s">
        <v>99</v>
      </c>
      <c r="C62" s="23" t="n">
        <f aca="false">IF(C59=0,0,C61/C59)</f>
        <v>0.965</v>
      </c>
      <c r="D62" s="23" t="n">
        <f aca="false">IF(D59=0,0,D61/D59)</f>
        <v>0.965</v>
      </c>
      <c r="E62" s="23" t="n">
        <f aca="false">IF(E59=0,0,E61/E59)</f>
        <v>0.965</v>
      </c>
      <c r="F62" s="23" t="n">
        <f aca="false">IF(F59=0,0,F61/F59)</f>
        <v>0.995771428571429</v>
      </c>
      <c r="G62" s="23" t="n">
        <f aca="false">IF(G59=0,0,G61/G59)</f>
        <v>0.995771428571429</v>
      </c>
      <c r="H62" s="23" t="n">
        <f aca="false">IF(H59=0,0,H61/H59)</f>
        <v>0.995771428571429</v>
      </c>
      <c r="I62" s="23" t="n">
        <f aca="false">IF(I59=0,0,I61/I59)</f>
        <v>0.99934961928934</v>
      </c>
      <c r="J62" s="23" t="n">
        <f aca="false">IF(J59=0,0,J61/J59)</f>
        <v>0.99934961928934</v>
      </c>
      <c r="K62" s="23" t="n">
        <f aca="false">IF(K59=0,0,K61/K59)</f>
        <v>0.99934961928934</v>
      </c>
      <c r="L62" s="8"/>
    </row>
    <row r="63" customFormat="false" ht="22.35" hidden="false" customHeight="false" outlineLevel="0" collapsed="false">
      <c r="A63" s="6" t="s">
        <v>391</v>
      </c>
      <c r="B63" s="12" t="s">
        <v>123</v>
      </c>
      <c r="C63" s="14" t="n">
        <f aca="false">IF(C$5&lt;=10,Assumptions!$C$83,IF(C$5&lt;=100,Assumptions!$C$84,Assumptions!$C$85))</f>
        <v>1</v>
      </c>
      <c r="D63" s="14" t="n">
        <f aca="false">IF(D$5&lt;=10,Assumptions!$C$83,IF(D$5&lt;=100,Assumptions!$C$84,Assumptions!$C$85))</f>
        <v>2</v>
      </c>
      <c r="E63" s="14" t="n">
        <f aca="false">IF(E$5&lt;=10,Assumptions!$C$83,IF(E$5&lt;=100,Assumptions!$C$84,Assumptions!$C$85))</f>
        <v>4</v>
      </c>
      <c r="F63" s="14" t="n">
        <f aca="false">IF(F$5&lt;=10,Assumptions!$D$83,IF(F$5&lt;=100,Assumptions!$D$84,Assumptions!$D$85))</f>
        <v>1</v>
      </c>
      <c r="G63" s="14" t="n">
        <f aca="false">IF(G$5&lt;=10,Assumptions!$D$83,IF(G$5&lt;=100,Assumptions!$D$84,Assumptions!$D$85))</f>
        <v>2</v>
      </c>
      <c r="H63" s="14" t="n">
        <f aca="false">IF(H$5&lt;=10,Assumptions!$D$83,IF(H$5&lt;=100,Assumptions!$D$84,Assumptions!$D$85))</f>
        <v>3</v>
      </c>
      <c r="I63" s="14" t="n">
        <f aca="false">IF(I$5&lt;=10,Assumptions!$E$83,IF(I$5&lt;=100,Assumptions!$E$84,Assumptions!$E$85))</f>
        <v>0</v>
      </c>
      <c r="J63" s="14" t="n">
        <f aca="false">IF(J$5&lt;=10,Assumptions!$E$83,IF(J$5&lt;=100,Assumptions!$E$84,Assumptions!$E$85))</f>
        <v>1</v>
      </c>
      <c r="K63" s="14" t="n">
        <f aca="false">IF(K$5&lt;=10,Assumptions!$E$83,IF(K$5&lt;=100,Assumptions!$E$84,Assumptions!$E$85))</f>
        <v>2</v>
      </c>
      <c r="L63" s="8" t="s">
        <v>392</v>
      </c>
    </row>
    <row r="64" customFormat="false" ht="15" hidden="false" customHeight="false" outlineLevel="0" collapsed="false">
      <c r="A64" s="6" t="s">
        <v>393</v>
      </c>
      <c r="B64" s="12" t="s">
        <v>251</v>
      </c>
      <c r="C64" s="16" t="n">
        <f aca="false">'Path to first revenue'!$B$6*12</f>
        <v>600000</v>
      </c>
      <c r="D64" s="16" t="n">
        <f aca="false">'Path to first revenue'!$B$6*12</f>
        <v>600000</v>
      </c>
      <c r="E64" s="16" t="n">
        <f aca="false">'Path to first revenue'!$B$6*12</f>
        <v>600000</v>
      </c>
      <c r="F64" s="16" t="n">
        <f aca="false">'Path to first revenue'!$B$6*12</f>
        <v>600000</v>
      </c>
      <c r="G64" s="16" t="n">
        <f aca="false">'Path to first revenue'!$B$6*12</f>
        <v>600000</v>
      </c>
      <c r="H64" s="16" t="n">
        <f aca="false">'Path to first revenue'!$B$6*12</f>
        <v>600000</v>
      </c>
      <c r="I64" s="16" t="n">
        <f aca="false">'Path to first revenue'!$B$6*12</f>
        <v>600000</v>
      </c>
      <c r="J64" s="16" t="n">
        <f aca="false">'Path to first revenue'!$B$6*12</f>
        <v>600000</v>
      </c>
      <c r="K64" s="16" t="n">
        <f aca="false">'Path to first revenue'!$B$6*12</f>
        <v>600000</v>
      </c>
      <c r="L64" s="8" t="s">
        <v>394</v>
      </c>
    </row>
    <row r="65" customFormat="false" ht="15" hidden="false" customHeight="false" outlineLevel="0" collapsed="false">
      <c r="A65" s="6" t="s">
        <v>395</v>
      </c>
      <c r="B65" s="12" t="s">
        <v>251</v>
      </c>
      <c r="C65" s="16" t="n">
        <f aca="false">C63*Assumptions!$C$10*12</f>
        <v>2400000</v>
      </c>
      <c r="D65" s="16" t="n">
        <f aca="false">D63*Assumptions!$C$10*12</f>
        <v>4800000</v>
      </c>
      <c r="E65" s="16" t="n">
        <f aca="false">E63*Assumptions!$C$10*12</f>
        <v>9600000</v>
      </c>
      <c r="F65" s="16" t="n">
        <f aca="false">F63*Assumptions!$D$10*12</f>
        <v>1800000</v>
      </c>
      <c r="G65" s="16" t="n">
        <f aca="false">G63*Assumptions!$D$10*12</f>
        <v>3600000</v>
      </c>
      <c r="H65" s="16" t="n">
        <f aca="false">H63*Assumptions!$D$10*12</f>
        <v>5400000</v>
      </c>
      <c r="I65" s="16" t="n">
        <f aca="false">I63*Assumptions!$E$10*12</f>
        <v>0</v>
      </c>
      <c r="J65" s="16" t="n">
        <f aca="false">J63*Assumptions!$E$10*12</f>
        <v>1500000</v>
      </c>
      <c r="K65" s="16" t="n">
        <f aca="false">K63*Assumptions!$E$10*12</f>
        <v>3000000</v>
      </c>
      <c r="L65" s="8"/>
    </row>
    <row r="66" customFormat="false" ht="15" hidden="false" customHeight="false" outlineLevel="0" collapsed="false">
      <c r="A66" s="6" t="s">
        <v>396</v>
      </c>
      <c r="B66" s="12" t="s">
        <v>251</v>
      </c>
      <c r="C66" s="16" t="n">
        <f aca="false">Assumptions!$C$11</f>
        <v>400000</v>
      </c>
      <c r="D66" s="16" t="n">
        <f aca="false">Assumptions!$C$11</f>
        <v>400000</v>
      </c>
      <c r="E66" s="16" t="n">
        <f aca="false">Assumptions!$C$11</f>
        <v>400000</v>
      </c>
      <c r="F66" s="16" t="n">
        <f aca="false">Assumptions!$D$11</f>
        <v>300000</v>
      </c>
      <c r="G66" s="16" t="n">
        <f aca="false">Assumptions!$D$11</f>
        <v>300000</v>
      </c>
      <c r="H66" s="16" t="n">
        <f aca="false">Assumptions!$D$11</f>
        <v>300000</v>
      </c>
      <c r="I66" s="16" t="n">
        <f aca="false">Assumptions!$E$11</f>
        <v>250000</v>
      </c>
      <c r="J66" s="16" t="n">
        <f aca="false">Assumptions!$E$11</f>
        <v>250000</v>
      </c>
      <c r="K66" s="16" t="n">
        <f aca="false">Assumptions!$E$11</f>
        <v>250000</v>
      </c>
      <c r="L66" s="8"/>
    </row>
    <row r="67" customFormat="false" ht="15" hidden="false" customHeight="false" outlineLevel="0" collapsed="false">
      <c r="A67" s="6" t="s">
        <v>397</v>
      </c>
      <c r="B67" s="12" t="s">
        <v>251</v>
      </c>
      <c r="C67" s="16" t="n">
        <f aca="false">Assumptions!$C$88</f>
        <v>300000</v>
      </c>
      <c r="D67" s="16" t="n">
        <f aca="false">Assumptions!$C$88</f>
        <v>300000</v>
      </c>
      <c r="E67" s="16" t="n">
        <f aca="false">Assumptions!$C$88</f>
        <v>300000</v>
      </c>
      <c r="F67" s="16" t="n">
        <f aca="false">Assumptions!$D$88</f>
        <v>200000</v>
      </c>
      <c r="G67" s="16" t="n">
        <f aca="false">Assumptions!$D$88</f>
        <v>200000</v>
      </c>
      <c r="H67" s="16" t="n">
        <f aca="false">Assumptions!$D$88</f>
        <v>200000</v>
      </c>
      <c r="I67" s="16" t="n">
        <f aca="false">Assumptions!$E$88</f>
        <v>150000</v>
      </c>
      <c r="J67" s="16" t="n">
        <f aca="false">Assumptions!$E$88</f>
        <v>150000</v>
      </c>
      <c r="K67" s="16" t="n">
        <f aca="false">Assumptions!$E$88</f>
        <v>150000</v>
      </c>
      <c r="L67" s="8"/>
    </row>
    <row r="68" customFormat="false" ht="15" hidden="false" customHeight="false" outlineLevel="0" collapsed="false">
      <c r="A68" s="6" t="s">
        <v>398</v>
      </c>
      <c r="B68" s="12" t="s">
        <v>251</v>
      </c>
      <c r="C68" s="16" t="n">
        <f aca="false">Assumptions!$C$79</f>
        <v>1000000</v>
      </c>
      <c r="D68" s="16" t="n">
        <f aca="false">Assumptions!$C$79</f>
        <v>1000000</v>
      </c>
      <c r="E68" s="16" t="n">
        <f aca="false">Assumptions!$C$79</f>
        <v>1000000</v>
      </c>
      <c r="F68" s="16" t="n">
        <f aca="false">Assumptions!$D$79</f>
        <v>500000</v>
      </c>
      <c r="G68" s="16" t="n">
        <f aca="false">Assumptions!$D$79</f>
        <v>500000</v>
      </c>
      <c r="H68" s="16" t="n">
        <f aca="false">Assumptions!$D$79</f>
        <v>500000</v>
      </c>
      <c r="I68" s="16" t="n">
        <f aca="false">Assumptions!$E$79</f>
        <v>200000</v>
      </c>
      <c r="J68" s="16" t="n">
        <f aca="false">Assumptions!$E$79</f>
        <v>200000</v>
      </c>
      <c r="K68" s="16" t="n">
        <f aca="false">Assumptions!$E$79</f>
        <v>200000</v>
      </c>
      <c r="L68" s="8" t="s">
        <v>412</v>
      </c>
    </row>
    <row r="69" customFormat="false" ht="15" hidden="false" customHeight="false" outlineLevel="0" collapsed="false">
      <c r="A69" s="6" t="s">
        <v>400</v>
      </c>
      <c r="B69" s="12" t="s">
        <v>251</v>
      </c>
      <c r="C69" s="16" t="n">
        <f aca="false">(Assumptions!$C$12+Assumptions!$C$82*Assumptions!$C$13)*Assumptions!$C$4*12</f>
        <v>145116</v>
      </c>
      <c r="D69" s="16" t="n">
        <f aca="false">(Assumptions!$C$12+Assumptions!$C$82*Assumptions!$C$13)*Assumptions!$C$4*12</f>
        <v>145116</v>
      </c>
      <c r="E69" s="16" t="n">
        <f aca="false">(Assumptions!$C$12+Assumptions!$C$82*Assumptions!$C$13)*Assumptions!$C$4*12</f>
        <v>145116</v>
      </c>
      <c r="F69" s="16" t="n">
        <f aca="false">(Assumptions!$D$12+Assumptions!$D$82*Assumptions!$D$13)*Assumptions!$C$4*12</f>
        <v>129456</v>
      </c>
      <c r="G69" s="16" t="n">
        <f aca="false">(Assumptions!$D$12+Assumptions!$D$82*Assumptions!$D$13)*Assumptions!$C$4*12</f>
        <v>129456</v>
      </c>
      <c r="H69" s="16" t="n">
        <f aca="false">(Assumptions!$D$12+Assumptions!$D$82*Assumptions!$D$13)*Assumptions!$C$4*12</f>
        <v>129456</v>
      </c>
      <c r="I69" s="16" t="n">
        <f aca="false">(Assumptions!$E$12+Assumptions!$E$82*Assumptions!$E$13)*Assumptions!$C$4*12</f>
        <v>119016</v>
      </c>
      <c r="J69" s="16" t="n">
        <f aca="false">(Assumptions!$E$12+Assumptions!$E$82*Assumptions!$E$13)*Assumptions!$C$4*12</f>
        <v>119016</v>
      </c>
      <c r="K69" s="16" t="n">
        <f aca="false">(Assumptions!$E$12+Assumptions!$E$82*Assumptions!$E$13)*Assumptions!$C$4*12</f>
        <v>119016</v>
      </c>
      <c r="L69" s="8"/>
    </row>
    <row r="70" customFormat="false" ht="15" hidden="false" customHeight="false" outlineLevel="0" collapsed="false">
      <c r="A70" s="6" t="s">
        <v>401</v>
      </c>
      <c r="B70" s="12" t="s">
        <v>251</v>
      </c>
      <c r="C70" s="16" t="n">
        <f aca="false">C$5*Assumptions!$C$76*'Unit economics'!$C$56</f>
        <v>1820000</v>
      </c>
      <c r="D70" s="16" t="n">
        <f aca="false">D$5*Assumptions!$C$76*'Unit economics'!$C$56</f>
        <v>18200000</v>
      </c>
      <c r="E70" s="16" t="n">
        <f aca="false">E$5*Assumptions!$C$76*'Unit economics'!$C$56</f>
        <v>182000000</v>
      </c>
      <c r="F70" s="16" t="n">
        <f aca="false">F$5*Assumptions!$D$76*'Unit economics'!$D$56</f>
        <v>498000</v>
      </c>
      <c r="G70" s="16" t="n">
        <f aca="false">G$5*Assumptions!$D$76*'Unit economics'!$D$56</f>
        <v>4980000</v>
      </c>
      <c r="H70" s="16" t="n">
        <f aca="false">H$5*Assumptions!$D$76*'Unit economics'!$D$56</f>
        <v>49800000</v>
      </c>
      <c r="I70" s="16" t="n">
        <f aca="false">I$5*Assumptions!$E$76*'Unit economics'!$E$56</f>
        <v>128500</v>
      </c>
      <c r="J70" s="16" t="n">
        <f aca="false">J$5*Assumptions!$E$76*'Unit economics'!$E$56</f>
        <v>1285000</v>
      </c>
      <c r="K70" s="16" t="n">
        <f aca="false">K$5*Assumptions!$E$76*'Unit economics'!$E$56</f>
        <v>12850000</v>
      </c>
      <c r="L70" s="8"/>
    </row>
    <row r="71" customFormat="false" ht="15" hidden="false" customHeight="false" outlineLevel="0" collapsed="false">
      <c r="A71" s="4" t="s">
        <v>402</v>
      </c>
      <c r="B71" s="12" t="s">
        <v>251</v>
      </c>
      <c r="C71" s="37" t="n">
        <f aca="false">SUM(C64:C70)</f>
        <v>6665116</v>
      </c>
      <c r="D71" s="37" t="n">
        <f aca="false">SUM(D64:D70)</f>
        <v>25445116</v>
      </c>
      <c r="E71" s="37" t="n">
        <f aca="false">SUM(E64:E70)</f>
        <v>194045116</v>
      </c>
      <c r="F71" s="37" t="n">
        <f aca="false">SUM(F64:F70)</f>
        <v>4027456</v>
      </c>
      <c r="G71" s="37" t="n">
        <f aca="false">SUM(G64:G70)</f>
        <v>10309456</v>
      </c>
      <c r="H71" s="37" t="n">
        <f aca="false">SUM(H64:H70)</f>
        <v>56929456</v>
      </c>
      <c r="I71" s="37" t="n">
        <f aca="false">SUM(I64:I70)</f>
        <v>1447516</v>
      </c>
      <c r="J71" s="37" t="n">
        <f aca="false">SUM(J64:J70)</f>
        <v>4104016</v>
      </c>
      <c r="K71" s="37" t="n">
        <f aca="false">SUM(K64:K70)</f>
        <v>17169016</v>
      </c>
      <c r="L71" s="8"/>
    </row>
    <row r="72" customFormat="false" ht="15" hidden="false" customHeight="false" outlineLevel="0" collapsed="false">
      <c r="A72" s="4" t="s">
        <v>403</v>
      </c>
      <c r="B72" s="12" t="s">
        <v>251</v>
      </c>
      <c r="C72" s="37" t="n">
        <f aca="false">C61-C71</f>
        <v>16494884</v>
      </c>
      <c r="D72" s="37" t="n">
        <f aca="false">D61-D71</f>
        <v>206154884</v>
      </c>
      <c r="E72" s="37" t="n">
        <f aca="false">E61-E71</f>
        <v>2121954884</v>
      </c>
      <c r="F72" s="37" t="n">
        <f aca="false">F61-F71</f>
        <v>100528544</v>
      </c>
      <c r="G72" s="37" t="n">
        <f aca="false">G61-G71</f>
        <v>1035250544</v>
      </c>
      <c r="H72" s="37" t="n">
        <f aca="false">H61-H71</f>
        <v>10398670544</v>
      </c>
      <c r="I72" s="37" t="n">
        <f aca="false">I61-I71</f>
        <v>376546484</v>
      </c>
      <c r="J72" s="37" t="n">
        <f aca="false">J61-J71</f>
        <v>3775835984</v>
      </c>
      <c r="K72" s="37" t="n">
        <f aca="false">K61-K71</f>
        <v>37782230984</v>
      </c>
      <c r="L72" s="8"/>
    </row>
    <row r="73" customFormat="false" ht="15" hidden="false" customHeight="false" outlineLevel="0" collapsed="false">
      <c r="A73" s="6" t="s">
        <v>404</v>
      </c>
      <c r="B73" s="12" t="s">
        <v>99</v>
      </c>
      <c r="C73" s="23" t="n">
        <f aca="false">IF(C59=0,0,C72/C59)</f>
        <v>0.687286833333333</v>
      </c>
      <c r="D73" s="23" t="n">
        <f aca="false">IF(D59=0,0,D72/D59)</f>
        <v>0.858978683333333</v>
      </c>
      <c r="E73" s="23" t="n">
        <f aca="false">IF(E59=0,0,E72/E59)</f>
        <v>0.884147868333333</v>
      </c>
      <c r="F73" s="23" t="n">
        <f aca="false">IF(F59=0,0,F72/F59)</f>
        <v>0.957414704761905</v>
      </c>
      <c r="G73" s="23" t="n">
        <f aca="false">IF(G59=0,0,G72/G59)</f>
        <v>0.985952899047619</v>
      </c>
      <c r="H73" s="23" t="n">
        <f aca="false">IF(H59=0,0,H72/H59)</f>
        <v>0.990349575619048</v>
      </c>
      <c r="I73" s="23" t="n">
        <f aca="false">IF(I59=0,0,I72/I59)</f>
        <v>0.995522641708968</v>
      </c>
      <c r="J73" s="23" t="n">
        <f aca="false">IF(J59=0,0,J72/J59)</f>
        <v>0.998264589678511</v>
      </c>
      <c r="K73" s="23" t="n">
        <f aca="false">IF(K59=0,0,K72/K59)</f>
        <v>0.99889570071912</v>
      </c>
      <c r="L73" s="8"/>
    </row>
    <row r="74" customFormat="false" ht="15" hidden="false" customHeight="false" outlineLevel="0" collapsed="false">
      <c r="A74" s="6" t="s">
        <v>405</v>
      </c>
      <c r="B74" s="12" t="s">
        <v>385</v>
      </c>
      <c r="C74" s="14" t="n">
        <f aca="false">Assumptions!$C$67</f>
        <v>15</v>
      </c>
      <c r="D74" s="14" t="n">
        <f aca="false">Assumptions!$C$67</f>
        <v>15</v>
      </c>
      <c r="E74" s="14" t="n">
        <f aca="false">Assumptions!$C$67</f>
        <v>15</v>
      </c>
      <c r="F74" s="14" t="n">
        <f aca="false">Assumptions!$D$67</f>
        <v>30</v>
      </c>
      <c r="G74" s="14" t="n">
        <f aca="false">Assumptions!$D$67</f>
        <v>30</v>
      </c>
      <c r="H74" s="14" t="n">
        <f aca="false">Assumptions!$D$67</f>
        <v>30</v>
      </c>
      <c r="I74" s="14" t="n">
        <f aca="false">Assumptions!$E$67</f>
        <v>60</v>
      </c>
      <c r="J74" s="14" t="n">
        <f aca="false">Assumptions!$E$67</f>
        <v>60</v>
      </c>
      <c r="K74" s="14" t="n">
        <f aca="false">Assumptions!$E$67</f>
        <v>60</v>
      </c>
      <c r="L74" s="8"/>
    </row>
    <row r="75" customFormat="false" ht="15" hidden="false" customHeight="false" outlineLevel="0" collapsed="false">
      <c r="A75" s="6" t="s">
        <v>406</v>
      </c>
      <c r="B75" s="12" t="s">
        <v>385</v>
      </c>
      <c r="C75" s="27" t="n">
        <f aca="false">Assumptions!$C$67*Assumptions!$C$74</f>
        <v>0.75</v>
      </c>
      <c r="D75" s="27" t="n">
        <f aca="false">Assumptions!$C$67*Assumptions!$C$74</f>
        <v>0.75</v>
      </c>
      <c r="E75" s="27" t="n">
        <f aca="false">Assumptions!$C$67*Assumptions!$C$74</f>
        <v>0.75</v>
      </c>
      <c r="F75" s="27" t="n">
        <f aca="false">Assumptions!$D$67*Assumptions!$D$74</f>
        <v>3</v>
      </c>
      <c r="G75" s="27" t="n">
        <f aca="false">Assumptions!$D$67*Assumptions!$D$74</f>
        <v>3</v>
      </c>
      <c r="H75" s="27" t="n">
        <f aca="false">Assumptions!$D$67*Assumptions!$D$74</f>
        <v>3</v>
      </c>
      <c r="I75" s="27" t="n">
        <f aca="false">Assumptions!$E$67*Assumptions!$E$74</f>
        <v>12</v>
      </c>
      <c r="J75" s="27" t="n">
        <f aca="false">Assumptions!$E$67*Assumptions!$E$74</f>
        <v>12</v>
      </c>
      <c r="K75" s="27" t="n">
        <f aca="false">Assumptions!$E$67*Assumptions!$E$74</f>
        <v>12</v>
      </c>
      <c r="L75" s="8"/>
    </row>
    <row r="76" customFormat="false" ht="15" hidden="false" customHeight="false" outlineLevel="0" collapsed="false">
      <c r="A76" s="4" t="s">
        <v>407</v>
      </c>
      <c r="B76" s="12"/>
      <c r="C76" s="4" t="str">
        <f aca="false">IF(C$5&gt;Assumptions!$C$67,"EXCEEDS reachable segment",IF(C$5&gt;Assumptions!$C$67*Assumptions!$C$74,"Needs "&amp;TEXT(C$5/Assumptions!$C$67,"0%")&amp;" of segment (&gt; win rate)","Within reach"))</f>
        <v>Needs 67% of segment (&gt; win rate)</v>
      </c>
      <c r="D76" s="4" t="str">
        <f aca="false">IF(D$5&gt;Assumptions!$C$67,"EXCEEDS reachable segment",IF(D$5&gt;Assumptions!$C$67*Assumptions!$C$74,"Needs "&amp;TEXT(D$5/Assumptions!$C$67,"0%")&amp;" of segment (&gt; win rate)","Within reach"))</f>
        <v>EXCEEDS reachable segment</v>
      </c>
      <c r="E76" s="4" t="str">
        <f aca="false">IF(E$5&gt;Assumptions!$C$67,"EXCEEDS reachable segment",IF(E$5&gt;Assumptions!$C$67*Assumptions!$C$74,"Needs "&amp;TEXT(E$5/Assumptions!$C$67,"0%")&amp;" of segment (&gt; win rate)","Within reach"))</f>
        <v>EXCEEDS reachable segment</v>
      </c>
      <c r="F76" s="4" t="str">
        <f aca="false">IF(F$5&gt;Assumptions!$D$67,"EXCEEDS reachable segment",IF(F$5&gt;Assumptions!$D$67*Assumptions!$D$74,"Needs "&amp;TEXT(F$5/Assumptions!$D$67,"0%")&amp;" of segment (&gt; win rate)","Within reach"))</f>
        <v>Needs 33% of segment (&gt; win rate)</v>
      </c>
      <c r="G76" s="4" t="str">
        <f aca="false">IF(G$5&gt;Assumptions!$D$67,"EXCEEDS reachable segment",IF(G$5&gt;Assumptions!$D$67*Assumptions!$D$74,"Needs "&amp;TEXT(G$5/Assumptions!$D$67,"0%")&amp;" of segment (&gt; win rate)","Within reach"))</f>
        <v>EXCEEDS reachable segment</v>
      </c>
      <c r="H76" s="4" t="str">
        <f aca="false">IF(H$5&gt;Assumptions!$D$67,"EXCEEDS reachable segment",IF(H$5&gt;Assumptions!$D$67*Assumptions!$D$74,"Needs "&amp;TEXT(H$5/Assumptions!$D$67,"0%")&amp;" of segment (&gt; win rate)","Within reach"))</f>
        <v>EXCEEDS reachable segment</v>
      </c>
      <c r="I76" s="4" t="str">
        <f aca="false">IF(I$5&gt;Assumptions!$E$67,"EXCEEDS reachable segment",IF(I$5&gt;Assumptions!$E$67*Assumptions!$E$74,"Needs "&amp;TEXT(I$5/Assumptions!$E$67,"0%")&amp;" of segment (&gt; win rate)","Within reach"))</f>
        <v>Within reach</v>
      </c>
      <c r="J76" s="4" t="str">
        <f aca="false">IF(J$5&gt;Assumptions!$E$67,"EXCEEDS reachable segment",IF(J$5&gt;Assumptions!$E$67*Assumptions!$E$74,"Needs "&amp;TEXT(J$5/Assumptions!$E$67,"0%")&amp;" of segment (&gt; win rate)","Within reach"))</f>
        <v>EXCEEDS reachable segment</v>
      </c>
      <c r="K76" s="4" t="str">
        <f aca="false">IF(K$5&gt;Assumptions!$E$67,"EXCEEDS reachable segment",IF(K$5&gt;Assumptions!$E$67*Assumptions!$E$74,"Needs "&amp;TEXT(K$5/Assumptions!$E$67,"0%")&amp;" of segment (&gt; win rate)","Within reach"))</f>
        <v>EXCEEDS reachable segment</v>
      </c>
      <c r="L76" s="8"/>
    </row>
    <row r="77" customFormat="false" ht="15" hidden="false" customHeight="false" outlineLevel="0" collapsed="false">
      <c r="A77" s="6" t="s">
        <v>413</v>
      </c>
      <c r="B77" s="12" t="s">
        <v>198</v>
      </c>
      <c r="C77" s="14" t="n">
        <f aca="false">C$5*Assumptions!$C$69</f>
        <v>1000</v>
      </c>
      <c r="D77" s="14" t="n">
        <f aca="false">D$5*Assumptions!$C$69</f>
        <v>10000</v>
      </c>
      <c r="E77" s="14" t="n">
        <f aca="false">E$5*Assumptions!$C$69</f>
        <v>100000</v>
      </c>
      <c r="F77" s="14" t="n">
        <f aca="false">F$5*Assumptions!$D$69</f>
        <v>2500</v>
      </c>
      <c r="G77" s="14" t="n">
        <f aca="false">G$5*Assumptions!$D$69</f>
        <v>25000</v>
      </c>
      <c r="H77" s="14" t="n">
        <f aca="false">H$5*Assumptions!$D$69</f>
        <v>250000</v>
      </c>
      <c r="I77" s="14" t="n">
        <f aca="false">I$5*Assumptions!$E$69</f>
        <v>4000</v>
      </c>
      <c r="J77" s="14" t="n">
        <f aca="false">J$5*Assumptions!$E$69</f>
        <v>40000</v>
      </c>
      <c r="K77" s="14" t="n">
        <f aca="false">K$5*Assumptions!$E$69</f>
        <v>400000</v>
      </c>
      <c r="L77" s="8"/>
    </row>
    <row r="78" customFormat="false" ht="22.35" hidden="false" customHeight="false" outlineLevel="0" collapsed="false">
      <c r="A78" s="6" t="s">
        <v>414</v>
      </c>
      <c r="B78" s="12" t="s">
        <v>99</v>
      </c>
      <c r="C78" s="23" t="n">
        <f aca="false">C77/3900</f>
        <v>0.256410256410256</v>
      </c>
      <c r="D78" s="23" t="n">
        <f aca="false">D77/3900</f>
        <v>2.56410256410256</v>
      </c>
      <c r="E78" s="23" t="n">
        <f aca="false">E77/3900</f>
        <v>25.6410256410256</v>
      </c>
      <c r="F78" s="23" t="n">
        <f aca="false">F77/3900</f>
        <v>0.641025641025641</v>
      </c>
      <c r="G78" s="23" t="n">
        <f aca="false">G77/3900</f>
        <v>6.41025641025641</v>
      </c>
      <c r="H78" s="23" t="n">
        <f aca="false">H77/3900</f>
        <v>64.1025641025641</v>
      </c>
      <c r="I78" s="23" t="n">
        <f aca="false">I77/3900</f>
        <v>1.02564102564103</v>
      </c>
      <c r="J78" s="23" t="n">
        <f aca="false">J77/3900</f>
        <v>10.2564102564103</v>
      </c>
      <c r="K78" s="23" t="n">
        <f aca="false">K77/3900</f>
        <v>102.564102564103</v>
      </c>
      <c r="L78" s="8" t="s">
        <v>415</v>
      </c>
    </row>
  </sheetData>
  <mergeCells count="1">
    <mergeCell ref="A2:L2"/>
  </mergeCells>
  <conditionalFormatting sqref="C28:K28">
    <cfRule type="expression" priority="2" aboveAverage="0" equalAverage="0" bottom="0" percent="0" rank="0" text="" dxfId="0">
      <formula>ISNUMBER(SEARCH("EXCEEDS",C28))+ISNUMBER(SEARCH("BLOCKED",C28))</formula>
    </cfRule>
    <cfRule type="expression" priority="3" aboveAverage="0" equalAverage="0" bottom="0" percent="0" rank="0" text="" dxfId="1">
      <formula>ISNUMBER(SEARCH("Needs",C28))</formula>
    </cfRule>
  </conditionalFormatting>
  <conditionalFormatting sqref="C51:K51">
    <cfRule type="expression" priority="4" aboveAverage="0" equalAverage="0" bottom="0" percent="0" rank="0" text="" dxfId="0">
      <formula>ISNUMBER(SEARCH("EXCEEDS",C51))+ISNUMBER(SEARCH("BLOCKED",C51))</formula>
    </cfRule>
    <cfRule type="expression" priority="5" aboveAverage="0" equalAverage="0" bottom="0" percent="0" rank="0" text="" dxfId="1">
      <formula>ISNUMBER(SEARCH("Needs",C51))</formula>
    </cfRule>
  </conditionalFormatting>
  <conditionalFormatting sqref="C76:K76">
    <cfRule type="expression" priority="6" aboveAverage="0" equalAverage="0" bottom="0" percent="0" rank="0" text="" dxfId="0">
      <formula>ISNUMBER(SEARCH("EXCEEDS",C76))+ISNUMBER(SEARCH("BLOCKED",C76))</formula>
    </cfRule>
    <cfRule type="expression" priority="7" aboveAverage="0" equalAverage="0" bottom="0" percent="0" rank="0" text="" dxfId="1">
      <formula>ISNUMBER(SEARCH("Needs",C76))</formula>
    </cfRule>
  </conditionalFormatting>
  <conditionalFormatting sqref="C52:K52">
    <cfRule type="expression" priority="8" aboveAverage="0" equalAverage="0" bottom="0" percent="0" rank="0" text="" dxfId="0">
      <formula>ISNUMBER(SEARCH("EXCEEDS",C52))+ISNUMBER(SEARCH("BLOCKED",C52))</formula>
    </cfRule>
    <cfRule type="expression" priority="9" aboveAverage="0" equalAverage="0" bottom="0" percent="0" rank="0" text="" dxfId="1">
      <formula>ISNUMBER(SEARCH("Needs",C52))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416</v>
      </c>
    </row>
    <row r="2" customFormat="false" ht="30" hidden="false" customHeight="true" outlineLevel="0" collapsed="false">
      <c r="A2" s="28" t="s">
        <v>417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customFormat="false" ht="15" hidden="false" customHeight="false" outlineLevel="0" collapsed="false">
      <c r="A4" s="4" t="s">
        <v>418</v>
      </c>
      <c r="B4" s="24" t="n">
        <v>-0.3</v>
      </c>
      <c r="C4" s="24" t="n">
        <v>0.3</v>
      </c>
      <c r="D4" s="12" t="s">
        <v>419</v>
      </c>
    </row>
    <row r="6" customFormat="false" ht="15" hidden="false" customHeight="false" outlineLevel="0" collapsed="false">
      <c r="A6" s="34" t="s">
        <v>420</v>
      </c>
    </row>
    <row r="7" customFormat="false" ht="23.85" hidden="false" customHeight="false" outlineLevel="0" collapsed="false">
      <c r="A7" s="9" t="s">
        <v>421</v>
      </c>
      <c r="B7" s="9" t="s">
        <v>422</v>
      </c>
      <c r="C7" s="9" t="s">
        <v>423</v>
      </c>
      <c r="D7" s="9" t="s">
        <v>424</v>
      </c>
      <c r="E7" s="9" t="s">
        <v>425</v>
      </c>
      <c r="F7" s="9" t="s">
        <v>426</v>
      </c>
      <c r="G7" s="9" t="s">
        <v>427</v>
      </c>
    </row>
    <row r="8" customFormat="false" ht="15" hidden="false" customHeight="false" outlineLevel="0" collapsed="false">
      <c r="A8" s="12" t="s">
        <v>428</v>
      </c>
      <c r="B8" s="27" t="n">
        <f aca="false">$B$93</f>
        <v>1.38940469688695</v>
      </c>
    </row>
    <row r="9" customFormat="false" ht="15" hidden="false" customHeight="false" outlineLevel="0" collapsed="false">
      <c r="A9" s="6" t="s">
        <v>429</v>
      </c>
      <c r="B9" s="16" t="n">
        <f aca="false">$B$61</f>
        <v>300000</v>
      </c>
      <c r="C9" s="16" t="n">
        <f aca="false">C$61</f>
        <v>210000</v>
      </c>
      <c r="D9" s="16" t="n">
        <f aca="false">D$61</f>
        <v>390000</v>
      </c>
      <c r="E9" s="27" t="n">
        <f aca="false">C$93</f>
        <v>1.8421433743664</v>
      </c>
      <c r="F9" s="27" t="n">
        <f aca="false">D$93</f>
        <v>1.11530030688295</v>
      </c>
      <c r="G9" s="36" t="n">
        <f aca="false">ABS(F9-E9)</f>
        <v>0.726843067483455</v>
      </c>
    </row>
    <row r="10" customFormat="false" ht="15" hidden="false" customHeight="false" outlineLevel="0" collapsed="false">
      <c r="A10" s="6" t="s">
        <v>430</v>
      </c>
      <c r="B10" s="23" t="n">
        <f aca="false">$B$74</f>
        <v>0.1</v>
      </c>
      <c r="C10" s="23" t="n">
        <f aca="false">E$74</f>
        <v>0.07</v>
      </c>
      <c r="D10" s="23" t="n">
        <f aca="false">F$74</f>
        <v>0.13</v>
      </c>
      <c r="E10" s="27" t="n">
        <f aca="false">E$93</f>
        <v>1.80135757197472</v>
      </c>
      <c r="F10" s="27" t="n">
        <f aca="false">F$93</f>
        <v>1.16758391799353</v>
      </c>
      <c r="G10" s="36" t="n">
        <f aca="false">ABS(F10-E10)</f>
        <v>0.633773653981191</v>
      </c>
    </row>
    <row r="11" customFormat="false" ht="15" hidden="false" customHeight="false" outlineLevel="0" collapsed="false">
      <c r="A11" s="6" t="s">
        <v>431</v>
      </c>
      <c r="B11" s="23" t="n">
        <f aca="false">$B$64</f>
        <v>0.015</v>
      </c>
      <c r="C11" s="23" t="n">
        <f aca="false">G$64</f>
        <v>0.0105</v>
      </c>
      <c r="D11" s="23" t="n">
        <f aca="false">H$64</f>
        <v>0.0195</v>
      </c>
      <c r="E11" s="27" t="n">
        <f aca="false">G$93</f>
        <v>1.48036077974978</v>
      </c>
      <c r="F11" s="27" t="n">
        <f aca="false">H$93</f>
        <v>1.30897864677129</v>
      </c>
      <c r="G11" s="36" t="n">
        <f aca="false">ABS(F11-E11)</f>
        <v>0.171382132978493</v>
      </c>
    </row>
    <row r="12" customFormat="false" ht="15" hidden="false" customHeight="false" outlineLevel="0" collapsed="false">
      <c r="A12" s="6" t="s">
        <v>432</v>
      </c>
      <c r="B12" s="23" t="n">
        <f aca="false">$B$78</f>
        <v>0.15</v>
      </c>
      <c r="C12" s="23" t="n">
        <f aca="false">I$78</f>
        <v>0.105</v>
      </c>
      <c r="D12" s="23" t="n">
        <f aca="false">J$78</f>
        <v>0.195</v>
      </c>
      <c r="E12" s="27" t="n">
        <f aca="false">I$93</f>
        <v>1.38940469688695</v>
      </c>
      <c r="F12" s="27" t="n">
        <f aca="false">J$93</f>
        <v>1.38940469688695</v>
      </c>
      <c r="G12" s="36" t="n">
        <f aca="false">ABS(F12-E12)</f>
        <v>0</v>
      </c>
    </row>
    <row r="13" customFormat="false" ht="15" hidden="false" customHeight="false" outlineLevel="0" collapsed="false">
      <c r="A13" s="6" t="s">
        <v>433</v>
      </c>
      <c r="B13" s="14" t="n">
        <f aca="false">$B$72</f>
        <v>6</v>
      </c>
      <c r="C13" s="14" t="n">
        <f aca="false">K$72</f>
        <v>4.2</v>
      </c>
      <c r="D13" s="14" t="n">
        <f aca="false">L$72</f>
        <v>7.8</v>
      </c>
      <c r="E13" s="27" t="n">
        <f aca="false">K$93</f>
        <v>1.23211359912616</v>
      </c>
      <c r="F13" s="27" t="n">
        <f aca="false">L$93</f>
        <v>1.54669579464773</v>
      </c>
      <c r="G13" s="36" t="n">
        <f aca="false">ABS(F13-E13)</f>
        <v>0.314582195521573</v>
      </c>
    </row>
    <row r="15" customFormat="false" ht="23.85" hidden="false" customHeight="false" outlineLevel="0" collapsed="false">
      <c r="A15" s="9" t="s">
        <v>434</v>
      </c>
      <c r="B15" s="9" t="s">
        <v>422</v>
      </c>
      <c r="C15" s="9" t="s">
        <v>423</v>
      </c>
      <c r="D15" s="9" t="s">
        <v>424</v>
      </c>
      <c r="E15" s="9" t="s">
        <v>425</v>
      </c>
      <c r="F15" s="9" t="s">
        <v>426</v>
      </c>
      <c r="G15" s="9" t="s">
        <v>427</v>
      </c>
    </row>
    <row r="16" customFormat="false" ht="15" hidden="false" customHeight="false" outlineLevel="0" collapsed="false">
      <c r="A16" s="12" t="s">
        <v>428</v>
      </c>
      <c r="B16" s="31" t="n">
        <f aca="false">$B$94</f>
        <v>68.1918238993711</v>
      </c>
    </row>
    <row r="17" customFormat="false" ht="15" hidden="false" customHeight="false" outlineLevel="0" collapsed="false">
      <c r="A17" s="6" t="s">
        <v>429</v>
      </c>
      <c r="B17" s="16" t="n">
        <f aca="false">$B$61</f>
        <v>300000</v>
      </c>
      <c r="C17" s="16" t="n">
        <f aca="false">C$61</f>
        <v>210000</v>
      </c>
      <c r="D17" s="16" t="n">
        <f aca="false">D$61</f>
        <v>390000</v>
      </c>
      <c r="E17" s="31" t="n">
        <f aca="false">C$94</f>
        <v>54.0408805031447</v>
      </c>
      <c r="F17" s="31" t="n">
        <f aca="false">D$94</f>
        <v>82.3427672955975</v>
      </c>
      <c r="G17" s="38" t="n">
        <f aca="false">ABS(F17-E17)</f>
        <v>28.3018867924528</v>
      </c>
    </row>
    <row r="18" customFormat="false" ht="15" hidden="false" customHeight="false" outlineLevel="0" collapsed="false">
      <c r="A18" s="6" t="s">
        <v>430</v>
      </c>
      <c r="B18" s="23" t="n">
        <f aca="false">$B$74</f>
        <v>0.1</v>
      </c>
      <c r="C18" s="23" t="n">
        <f aca="false">E$74</f>
        <v>0.07</v>
      </c>
      <c r="D18" s="23" t="n">
        <f aca="false">F$74</f>
        <v>0.13</v>
      </c>
      <c r="E18" s="31" t="n">
        <f aca="false">E$94</f>
        <v>52.5970200970201</v>
      </c>
      <c r="F18" s="31" t="n">
        <f aca="false">F$94</f>
        <v>81.1470926885435</v>
      </c>
      <c r="G18" s="38" t="n">
        <f aca="false">ABS(F18-E18)</f>
        <v>28.5500725915234</v>
      </c>
    </row>
    <row r="19" customFormat="false" ht="15" hidden="false" customHeight="false" outlineLevel="0" collapsed="false">
      <c r="A19" s="6" t="s">
        <v>431</v>
      </c>
      <c r="B19" s="23" t="n">
        <f aca="false">$B$64</f>
        <v>0.015</v>
      </c>
      <c r="C19" s="23" t="n">
        <f aca="false">G$64</f>
        <v>0.0105</v>
      </c>
      <c r="D19" s="23" t="n">
        <f aca="false">H$64</f>
        <v>0.0195</v>
      </c>
      <c r="E19" s="31" t="n">
        <f aca="false">G$94</f>
        <v>61.4701257861635</v>
      </c>
      <c r="F19" s="31" t="n">
        <f aca="false">H$94</f>
        <v>74.9135220125786</v>
      </c>
      <c r="G19" s="38" t="n">
        <f aca="false">ABS(F19-E19)</f>
        <v>13.4433962264151</v>
      </c>
    </row>
    <row r="20" customFormat="false" ht="15" hidden="false" customHeight="false" outlineLevel="0" collapsed="false">
      <c r="A20" s="6" t="s">
        <v>432</v>
      </c>
      <c r="B20" s="23" t="n">
        <f aca="false">$B$78</f>
        <v>0.15</v>
      </c>
      <c r="C20" s="23" t="n">
        <f aca="false">I$78</f>
        <v>0.105</v>
      </c>
      <c r="D20" s="23" t="n">
        <f aca="false">J$78</f>
        <v>0.195</v>
      </c>
      <c r="E20" s="31" t="n">
        <f aca="false">I$94</f>
        <v>92.8683737646002</v>
      </c>
      <c r="F20" s="31" t="n">
        <f aca="false">J$94</f>
        <v>54.9044508950169</v>
      </c>
      <c r="G20" s="38" t="n">
        <f aca="false">ABS(F20-E20)</f>
        <v>37.9639228695833</v>
      </c>
    </row>
    <row r="21" customFormat="false" ht="15" hidden="false" customHeight="false" outlineLevel="0" collapsed="false">
      <c r="A21" s="6" t="s">
        <v>433</v>
      </c>
      <c r="B21" s="14" t="n">
        <f aca="false">$B$72</f>
        <v>6</v>
      </c>
      <c r="C21" s="14" t="n">
        <f aca="false">K$72</f>
        <v>4.2</v>
      </c>
      <c r="D21" s="14" t="n">
        <f aca="false">L$72</f>
        <v>7.8</v>
      </c>
      <c r="E21" s="31" t="n">
        <f aca="false">K$94</f>
        <v>76.8971631205674</v>
      </c>
      <c r="F21" s="31" t="n">
        <f aca="false">L$94</f>
        <v>61.2570621468927</v>
      </c>
      <c r="G21" s="38" t="n">
        <f aca="false">ABS(F21-E21)</f>
        <v>15.6401009736747</v>
      </c>
    </row>
    <row r="23" customFormat="false" ht="23.85" hidden="false" customHeight="false" outlineLevel="0" collapsed="false">
      <c r="A23" s="9" t="s">
        <v>435</v>
      </c>
      <c r="B23" s="9" t="s">
        <v>422</v>
      </c>
      <c r="C23" s="9" t="s">
        <v>423</v>
      </c>
      <c r="D23" s="9" t="s">
        <v>424</v>
      </c>
      <c r="E23" s="9" t="s">
        <v>425</v>
      </c>
      <c r="F23" s="9" t="s">
        <v>426</v>
      </c>
      <c r="G23" s="9" t="s">
        <v>427</v>
      </c>
    </row>
    <row r="24" customFormat="false" ht="15" hidden="false" customHeight="false" outlineLevel="0" collapsed="false">
      <c r="A24" s="12" t="s">
        <v>428</v>
      </c>
      <c r="B24" s="16" t="n">
        <f aca="false">$B$95</f>
        <v>61038900</v>
      </c>
    </row>
    <row r="25" customFormat="false" ht="15" hidden="false" customHeight="false" outlineLevel="0" collapsed="false">
      <c r="A25" s="6" t="s">
        <v>429</v>
      </c>
      <c r="B25" s="16" t="n">
        <f aca="false">$B$61</f>
        <v>300000</v>
      </c>
      <c r="C25" s="16" t="n">
        <f aca="false">C$61</f>
        <v>210000</v>
      </c>
      <c r="D25" s="16" t="n">
        <f aca="false">D$61</f>
        <v>390000</v>
      </c>
      <c r="E25" s="16" t="n">
        <f aca="false">C$95</f>
        <v>47538900</v>
      </c>
      <c r="F25" s="16" t="n">
        <f aca="false">D$95</f>
        <v>74538900</v>
      </c>
      <c r="G25" s="37" t="n">
        <f aca="false">ABS(F25-E25)</f>
        <v>27000000</v>
      </c>
    </row>
    <row r="26" customFormat="false" ht="15" hidden="false" customHeight="false" outlineLevel="0" collapsed="false">
      <c r="A26" s="6" t="s">
        <v>430</v>
      </c>
      <c r="B26" s="23" t="n">
        <f aca="false">$B$74</f>
        <v>0.1</v>
      </c>
      <c r="C26" s="23" t="n">
        <f aca="false">E$74</f>
        <v>0.07</v>
      </c>
      <c r="D26" s="23" t="n">
        <f aca="false">F$74</f>
        <v>0.13</v>
      </c>
      <c r="E26" s="16" t="n">
        <f aca="false">E$95</f>
        <v>60756042.8571429</v>
      </c>
      <c r="F26" s="16" t="n">
        <f aca="false">F$95</f>
        <v>61191207.6923077</v>
      </c>
      <c r="G26" s="37" t="n">
        <f aca="false">ABS(F26-E26)</f>
        <v>435164.835164838</v>
      </c>
    </row>
    <row r="27" customFormat="false" ht="15" hidden="false" customHeight="false" outlineLevel="0" collapsed="false">
      <c r="A27" s="6" t="s">
        <v>431</v>
      </c>
      <c r="B27" s="23" t="n">
        <f aca="false">$B$64</f>
        <v>0.015</v>
      </c>
      <c r="C27" s="23" t="n">
        <f aca="false">G$64</f>
        <v>0.0105</v>
      </c>
      <c r="D27" s="23" t="n">
        <f aca="false">H$64</f>
        <v>0.0195</v>
      </c>
      <c r="E27" s="16" t="n">
        <f aca="false">G$95</f>
        <v>54626400</v>
      </c>
      <c r="F27" s="16" t="n">
        <f aca="false">H$95</f>
        <v>67451400</v>
      </c>
      <c r="G27" s="37" t="n">
        <f aca="false">ABS(F27-E27)</f>
        <v>12825000</v>
      </c>
    </row>
    <row r="28" customFormat="false" ht="15" hidden="false" customHeight="false" outlineLevel="0" collapsed="false">
      <c r="A28" s="6" t="s">
        <v>432</v>
      </c>
      <c r="B28" s="23" t="n">
        <f aca="false">$B$78</f>
        <v>0.15</v>
      </c>
      <c r="C28" s="23" t="n">
        <f aca="false">I$78</f>
        <v>0.105</v>
      </c>
      <c r="D28" s="23" t="n">
        <f aca="false">J$78</f>
        <v>0.195</v>
      </c>
      <c r="E28" s="16" t="n">
        <f aca="false">I$95</f>
        <v>58287600</v>
      </c>
      <c r="F28" s="16" t="n">
        <f aca="false">J$95</f>
        <v>63790200</v>
      </c>
      <c r="G28" s="37" t="n">
        <f aca="false">ABS(F28-E28)</f>
        <v>5502600</v>
      </c>
    </row>
    <row r="29" customFormat="false" ht="15" hidden="false" customHeight="false" outlineLevel="0" collapsed="false">
      <c r="A29" s="6" t="s">
        <v>433</v>
      </c>
      <c r="B29" s="14" t="n">
        <f aca="false">$B$72</f>
        <v>6</v>
      </c>
      <c r="C29" s="14" t="n">
        <f aca="false">K$72</f>
        <v>4.2</v>
      </c>
      <c r="D29" s="14" t="n">
        <f aca="false">L$72</f>
        <v>7.8</v>
      </c>
      <c r="E29" s="16" t="n">
        <f aca="false">K$95</f>
        <v>61146900</v>
      </c>
      <c r="F29" s="16" t="n">
        <f aca="false">L$95</f>
        <v>60930900</v>
      </c>
      <c r="G29" s="37" t="n">
        <f aca="false">ABS(F29-E29)</f>
        <v>216000</v>
      </c>
    </row>
    <row r="31" customFormat="false" ht="15" hidden="false" customHeight="false" outlineLevel="0" collapsed="false">
      <c r="A31" s="34" t="s">
        <v>436</v>
      </c>
    </row>
    <row r="32" customFormat="false" ht="15" hidden="false" customHeight="false" outlineLevel="0" collapsed="false">
      <c r="A32" s="4" t="s">
        <v>437</v>
      </c>
      <c r="B32" s="12" t="s">
        <v>438</v>
      </c>
      <c r="C32" s="39" t="n">
        <v>0.5</v>
      </c>
      <c r="D32" s="39" t="n">
        <v>0.7</v>
      </c>
      <c r="E32" s="39" t="n">
        <v>0.85</v>
      </c>
      <c r="F32" s="39" t="n">
        <v>1</v>
      </c>
      <c r="G32" s="39" t="n">
        <v>1.15</v>
      </c>
      <c r="H32" s="39" t="n">
        <v>1.3</v>
      </c>
      <c r="I32" s="39" t="n">
        <v>1.5</v>
      </c>
    </row>
    <row r="33" customFormat="false" ht="15" hidden="false" customHeight="false" outlineLevel="0" collapsed="false">
      <c r="B33" s="12" t="s">
        <v>439</v>
      </c>
      <c r="C33" s="23" t="n">
        <f aca="false">$B$74*C32</f>
        <v>0.05</v>
      </c>
      <c r="D33" s="23" t="n">
        <f aca="false">$B$74*D32</f>
        <v>0.07</v>
      </c>
      <c r="E33" s="23" t="n">
        <f aca="false">$B$74*E32</f>
        <v>0.085</v>
      </c>
      <c r="F33" s="23" t="n">
        <f aca="false">$B$74*F32</f>
        <v>0.1</v>
      </c>
      <c r="G33" s="23" t="n">
        <f aca="false">$B$74*G32</f>
        <v>0.115</v>
      </c>
      <c r="H33" s="23" t="n">
        <f aca="false">$B$74*H32</f>
        <v>0.13</v>
      </c>
      <c r="I33" s="23" t="n">
        <f aca="false">$B$74*I32</f>
        <v>0.15</v>
      </c>
    </row>
    <row r="34" customFormat="false" ht="15" hidden="false" customHeight="false" outlineLevel="0" collapsed="false">
      <c r="A34" s="39" t="n">
        <v>0.5</v>
      </c>
      <c r="B34" s="16" t="n">
        <f aca="false">$B$61*A34</f>
        <v>150000</v>
      </c>
      <c r="C34" s="27" t="n">
        <f aca="false">IF((($B34*$B$62+$B$63*$B$62*$B$64*$B$65*$B$67)-($B$68+$B$69*12+$B$70*12*$B$71))&lt;=0,999,((($B$72*$B$71+$B$73)/C$33+$B$75/$B$76)+$B$77*$B$71)/((($B34*$B$62+$B$63*$B$62*$B$64*$B$65*$B$67)-($B$68+$B$69*12+$B$70*12*$B$71))/12))</f>
        <v>3.98149861239593</v>
      </c>
      <c r="D34" s="27" t="n">
        <f aca="false">IF((($B34*$B$62+$B$63*$B$62*$B$64*$B$65*$B$67)-($B$68+$B$69*12+$B$70*12*$B$71))&lt;=0,999,((($B$72*$B$71+$B$73)/D$33+$B$75/$B$76)+$B$77*$B$71)/((($B34*$B$62+$B$63*$B$62*$B$64*$B$65*$B$67)-($B$68+$B$69*12+$B$70*12*$B$71))/12))</f>
        <v>3.05114312144839</v>
      </c>
      <c r="E34" s="27" t="n">
        <f aca="false">IF((($B34*$B$62+$B$63*$B$62*$B$64*$B$65*$B$67)-($B$68+$B$69*12+$B$70*12*$B$71))&lt;=0,999,((($B$72*$B$71+$B$73)/E$33+$B$75/$B$76)+$B$77*$B$71)/((($B34*$B$62+$B$63*$B$62*$B$64*$B$65*$B$67)-($B$68+$B$69*12+$B$70*12*$B$71))/12))</f>
        <v>2.64069216955978</v>
      </c>
      <c r="F34" s="27" t="n">
        <f aca="false">IF((($B34*$B$62+$B$63*$B$62*$B$64*$B$65*$B$67)-($B$68+$B$69*12+$B$70*12*$B$71))&lt;=0,999,((($B$72*$B$71+$B$73)/F$33+$B$75/$B$76)+$B$77*$B$71)/((($B34*$B$62+$B$63*$B$62*$B$64*$B$65*$B$67)-($B$68+$B$69*12+$B$70*12*$B$71))/12))</f>
        <v>2.35337650323774</v>
      </c>
      <c r="G34" s="27" t="n">
        <f aca="false">IF((($B34*$B$62+$B$63*$B$62*$B$64*$B$65*$B$67)-($B$68+$B$69*12+$B$70*12*$B$71))&lt;=0,999,((($B$72*$B$71+$B$73)/G$33+$B$75/$B$76)+$B$77*$B$71)/((($B34*$B$62+$B$63*$B$62*$B$64*$B$65*$B$67)-($B$68+$B$69*12+$B$70*12*$B$71))/12))</f>
        <v>2.14101274986928</v>
      </c>
      <c r="H34" s="27" t="n">
        <f aca="false">IF((($B34*$B$62+$B$63*$B$62*$B$64*$B$65*$B$67)-($B$68+$B$69*12+$B$70*12*$B$71))&lt;=0,999,((($B$72*$B$71+$B$73)/H$33+$B$75/$B$76)+$B$77*$B$71)/((($B34*$B$62+$B$63*$B$62*$B$64*$B$65*$B$67)-($B$68+$B$69*12+$B$70*12*$B$71))/12))</f>
        <v>1.97765601650893</v>
      </c>
      <c r="I34" s="27" t="n">
        <f aca="false">IF((($B34*$B$62+$B$63*$B$62*$B$64*$B$65*$B$67)-($B$68+$B$69*12+$B$70*12*$B$71))&lt;=0,999,((($B$72*$B$71+$B$73)/I$33+$B$75/$B$76)+$B$77*$B$71)/((($B34*$B$62+$B$63*$B$62*$B$64*$B$65*$B$67)-($B$68+$B$69*12+$B$70*12*$B$71))/12))</f>
        <v>1.81066913351835</v>
      </c>
    </row>
    <row r="35" customFormat="false" ht="15" hidden="false" customHeight="false" outlineLevel="0" collapsed="false">
      <c r="A35" s="39" t="n">
        <v>0.7</v>
      </c>
      <c r="B35" s="16" t="n">
        <f aca="false">$B$61*A35</f>
        <v>210000</v>
      </c>
      <c r="C35" s="27" t="n">
        <f aca="false">IF((($B35*$B$62+$B$63*$B$62*$B$64*$B$65*$B$67)-($B$68+$B$69*12+$B$70*12*$B$71))&lt;=0,999,((($B$72*$B$71+$B$73)/C$33+$B$75/$B$76)+$B$77*$B$71)/((($B35*$B$62+$B$63*$B$62*$B$64*$B$65*$B$67)-($B$68+$B$69*12+$B$70*12*$B$71))/12))</f>
        <v>3.11658218682114</v>
      </c>
      <c r="D35" s="27" t="n">
        <f aca="false">IF((($B35*$B$62+$B$63*$B$62*$B$64*$B$65*$B$67)-($B$68+$B$69*12+$B$70*12*$B$71))&lt;=0,999,((($B$72*$B$71+$B$73)/D$33+$B$75/$B$76)+$B$77*$B$71)/((($B35*$B$62+$B$63*$B$62*$B$64*$B$65*$B$67)-($B$68+$B$69*12+$B$70*12*$B$71))/12))</f>
        <v>2.38833143684701</v>
      </c>
      <c r="E35" s="27" t="n">
        <f aca="false">IF((($B35*$B$62+$B$63*$B$62*$B$64*$B$65*$B$67)-($B$68+$B$69*12+$B$70*12*$B$71))&lt;=0,999,((($B$72*$B$71+$B$73)/E$33+$B$75/$B$76)+$B$77*$B$71)/((($B35*$B$62+$B$63*$B$62*$B$64*$B$65*$B$67)-($B$68+$B$69*12+$B$70*12*$B$71))/12))</f>
        <v>2.06704434127018</v>
      </c>
      <c r="F35" s="27" t="n">
        <f aca="false">IF((($B35*$B$62+$B$63*$B$62*$B$64*$B$65*$B$67)-($B$68+$B$69*12+$B$70*12*$B$71))&lt;=0,999,((($B$72*$B$71+$B$73)/F$33+$B$75/$B$76)+$B$77*$B$71)/((($B35*$B$62+$B$63*$B$62*$B$64*$B$65*$B$67)-($B$68+$B$69*12+$B$70*12*$B$71))/12))</f>
        <v>1.8421433743664</v>
      </c>
      <c r="G35" s="27" t="n">
        <f aca="false">IF((($B35*$B$62+$B$63*$B$62*$B$64*$B$65*$B$67)-($B$68+$B$69*12+$B$70*12*$B$71))&lt;=0,999,((($B$72*$B$71+$B$73)/G$33+$B$75/$B$76)+$B$77*$B$71)/((($B35*$B$62+$B$63*$B$62*$B$64*$B$65*$B$67)-($B$68+$B$69*12+$B$70*12*$B$71))/12))</f>
        <v>1.67591222491578</v>
      </c>
      <c r="H35" s="27" t="n">
        <f aca="false">IF((($B35*$B$62+$B$63*$B$62*$B$64*$B$65*$B$67)-($B$68+$B$69*12+$B$70*12*$B$71))&lt;=0,999,((($B$72*$B$71+$B$73)/H$33+$B$75/$B$76)+$B$77*$B$71)/((($B35*$B$62+$B$63*$B$62*$B$64*$B$65*$B$67)-($B$68+$B$69*12+$B$70*12*$B$71))/12))</f>
        <v>1.54804210995377</v>
      </c>
      <c r="I35" s="27" t="n">
        <f aca="false">IF((($B35*$B$62+$B$63*$B$62*$B$64*$B$65*$B$67)-($B$68+$B$69*12+$B$70*12*$B$71))&lt;=0,999,((($B$72*$B$71+$B$73)/I$33+$B$75/$B$76)+$B$77*$B$71)/((($B35*$B$62+$B$63*$B$62*$B$64*$B$65*$B$67)-($B$68+$B$69*12+$B$70*12*$B$71))/12))</f>
        <v>1.41733043688149</v>
      </c>
    </row>
    <row r="36" customFormat="false" ht="15" hidden="false" customHeight="false" outlineLevel="0" collapsed="false">
      <c r="A36" s="39" t="n">
        <v>0.85</v>
      </c>
      <c r="B36" s="16" t="n">
        <f aca="false">$B$61*A36</f>
        <v>255000</v>
      </c>
      <c r="C36" s="27" t="n">
        <f aca="false">IF((($B36*$B$62+$B$63*$B$62*$B$64*$B$65*$B$67)-($B$68+$B$69*12+$B$70*12*$B$71))&lt;=0,999,((($B$72*$B$71+$B$73)/C$33+$B$75/$B$76)+$B$77*$B$71)/((($B36*$B$62+$B$63*$B$62*$B$64*$B$65*$B$67)-($B$68+$B$69*12+$B$70*12*$B$71))/12))</f>
        <v>2.6799501867995</v>
      </c>
      <c r="D36" s="27" t="n">
        <f aca="false">IF((($B36*$B$62+$B$63*$B$62*$B$64*$B$65*$B$67)-($B$68+$B$69*12+$B$70*12*$B$71))&lt;=0,999,((($B$72*$B$71+$B$73)/D$33+$B$75/$B$76)+$B$77*$B$71)/((($B36*$B$62+$B$63*$B$62*$B$64*$B$65*$B$67)-($B$68+$B$69*12+$B$70*12*$B$71))/12))</f>
        <v>2.05372709482299</v>
      </c>
      <c r="E36" s="27" t="n">
        <f aca="false">IF((($B36*$B$62+$B$63*$B$62*$B$64*$B$65*$B$67)-($B$68+$B$69*12+$B$70*12*$B$71))&lt;=0,999,((($B$72*$B$71+$B$73)/E$33+$B$75/$B$76)+$B$77*$B$71)/((($B36*$B$62+$B$63*$B$62*$B$64*$B$65*$B$67)-($B$68+$B$69*12+$B$70*12*$B$71))/12))</f>
        <v>1.77745220130393</v>
      </c>
      <c r="F36" s="27" t="n">
        <f aca="false">IF((($B36*$B$62+$B$63*$B$62*$B$64*$B$65*$B$67)-($B$68+$B$69*12+$B$70*12*$B$71))&lt;=0,999,((($B$72*$B$71+$B$73)/F$33+$B$75/$B$76)+$B$77*$B$71)/((($B36*$B$62+$B$63*$B$62*$B$64*$B$65*$B$67)-($B$68+$B$69*12+$B$70*12*$B$71))/12))</f>
        <v>1.5840597758406</v>
      </c>
      <c r="G36" s="27" t="n">
        <f aca="false">IF((($B36*$B$62+$B$63*$B$62*$B$64*$B$65*$B$67)-($B$68+$B$69*12+$B$70*12*$B$71))&lt;=0,999,((($B$72*$B$71+$B$73)/G$33+$B$75/$B$76)+$B$77*$B$71)/((($B36*$B$62+$B$63*$B$62*$B$64*$B$65*$B$67)-($B$68+$B$69*12+$B$70*12*$B$71))/12))</f>
        <v>1.44111754832422</v>
      </c>
      <c r="H36" s="27" t="n">
        <f aca="false">IF((($B36*$B$62+$B$63*$B$62*$B$64*$B$65*$B$67)-($B$68+$B$69*12+$B$70*12*$B$71))&lt;=0,999,((($B$72*$B$71+$B$73)/H$33+$B$75/$B$76)+$B$77*$B$71)/((($B36*$B$62+$B$63*$B$62*$B$64*$B$65*$B$67)-($B$68+$B$69*12+$B$70*12*$B$71))/12))</f>
        <v>1.33116198869624</v>
      </c>
      <c r="I36" s="27" t="n">
        <f aca="false">IF((($B36*$B$62+$B$63*$B$62*$B$64*$B$65*$B$67)-($B$68+$B$69*12+$B$70*12*$B$71))&lt;=0,999,((($B$72*$B$71+$B$73)/I$33+$B$75/$B$76)+$B$77*$B$71)/((($B36*$B$62+$B$63*$B$62*$B$64*$B$65*$B$67)-($B$68+$B$69*12+$B$70*12*$B$71))/12))</f>
        <v>1.21876297218763</v>
      </c>
    </row>
    <row r="37" customFormat="false" ht="15" hidden="false" customHeight="false" outlineLevel="0" collapsed="false">
      <c r="A37" s="39" t="n">
        <v>1</v>
      </c>
      <c r="B37" s="16" t="n">
        <f aca="false">$B$61*A37</f>
        <v>300000</v>
      </c>
      <c r="C37" s="27" t="n">
        <f aca="false">IF((($B37*$B$62+$B$63*$B$62*$B$64*$B$65*$B$67)-($B$68+$B$69*12+$B$70*12*$B$71))&lt;=0,999,((($B$72*$B$71+$B$73)/C$33+$B$75/$B$76)+$B$77*$B$71)/((($B37*$B$62+$B$63*$B$62*$B$64*$B$65*$B$67)-($B$68+$B$69*12+$B$70*12*$B$71))/12))</f>
        <v>2.35062807209175</v>
      </c>
      <c r="D37" s="27" t="n">
        <f aca="false">IF((($B37*$B$62+$B$63*$B$62*$B$64*$B$65*$B$67)-($B$68+$B$69*12+$B$70*12*$B$71))&lt;=0,999,((($B$72*$B$71+$B$73)/D$33+$B$75/$B$76)+$B$77*$B$71)/((($B37*$B$62+$B$63*$B$62*$B$64*$B$65*$B$67)-($B$68+$B$69*12+$B$70*12*$B$71))/12))</f>
        <v>1.80135757197472</v>
      </c>
      <c r="E37" s="27" t="n">
        <f aca="false">IF((($B37*$B$62+$B$63*$B$62*$B$64*$B$65*$B$67)-($B$68+$B$69*12+$B$70*12*$B$71))&lt;=0,999,((($B$72*$B$71+$B$73)/E$33+$B$75/$B$76)+$B$77*$B$71)/((($B37*$B$62+$B$63*$B$62*$B$64*$B$65*$B$67)-($B$68+$B$69*12+$B$70*12*$B$71))/12))</f>
        <v>1.55903235133485</v>
      </c>
      <c r="F37" s="40" t="n">
        <f aca="false">IF((($B37*$B$62+$B$63*$B$62*$B$64*$B$65*$B$67)-($B$68+$B$69*12+$B$70*12*$B$71))&lt;=0,999,((($B$72*$B$71+$B$73)/F$33+$B$75/$B$76)+$B$77*$B$71)/((($B37*$B$62+$B$63*$B$62*$B$64*$B$65*$B$67)-($B$68+$B$69*12+$B$70*12*$B$71))/12))</f>
        <v>1.38940469688695</v>
      </c>
      <c r="G37" s="27" t="n">
        <f aca="false">IF((($B37*$B$62+$B$63*$B$62*$B$64*$B$65*$B$67)-($B$68+$B$69*12+$B$70*12*$B$71))&lt;=0,999,((($B$72*$B$71+$B$73)/G$33+$B$75/$B$76)+$B$77*$B$71)/((($B37*$B$62+$B$63*$B$62*$B$64*$B$65*$B$67)-($B$68+$B$69*12+$B$70*12*$B$71))/12))</f>
        <v>1.26402773490371</v>
      </c>
      <c r="H37" s="27" t="n">
        <f aca="false">IF((($B37*$B$62+$B$63*$B$62*$B$64*$B$65*$B$67)-($B$68+$B$69*12+$B$70*12*$B$71))&lt;=0,999,((($B$72*$B$71+$B$73)/H$33+$B$75/$B$76)+$B$77*$B$71)/((($B37*$B$62+$B$63*$B$62*$B$64*$B$65*$B$67)-($B$68+$B$69*12+$B$70*12*$B$71))/12))</f>
        <v>1.16758391799353</v>
      </c>
      <c r="I37" s="27" t="n">
        <f aca="false">IF((($B37*$B$62+$B$63*$B$62*$B$64*$B$65*$B$67)-($B$68+$B$69*12+$B$70*12*$B$71))&lt;=0,999,((($B$72*$B$71+$B$73)/I$33+$B$75/$B$76)+$B$77*$B$71)/((($B37*$B$62+$B$63*$B$62*$B$64*$B$65*$B$67)-($B$68+$B$69*12+$B$70*12*$B$71))/12))</f>
        <v>1.06899690515201</v>
      </c>
    </row>
    <row r="38" customFormat="false" ht="15" hidden="false" customHeight="false" outlineLevel="0" collapsed="false">
      <c r="A38" s="39" t="n">
        <v>1.15</v>
      </c>
      <c r="B38" s="16" t="n">
        <f aca="false">$B$61*A38</f>
        <v>345000</v>
      </c>
      <c r="C38" s="27" t="n">
        <f aca="false">IF((($B38*$B$62+$B$63*$B$62*$B$64*$B$65*$B$67)-($B$68+$B$69*12+$B$70*12*$B$71))&lt;=0,999,((($B$72*$B$71+$B$73)/C$33+$B$75/$B$76)+$B$77*$B$71)/((($B38*$B$62+$B$63*$B$62*$B$64*$B$65*$B$67)-($B$68+$B$69*12+$B$70*12*$B$71))/12))</f>
        <v>2.09338521400778</v>
      </c>
      <c r="D38" s="27" t="n">
        <f aca="false">IF((($B38*$B$62+$B$63*$B$62*$B$64*$B$65*$B$67)-($B$68+$B$69*12+$B$70*12*$B$71))&lt;=0,999,((($B$72*$B$71+$B$73)/D$33+$B$75/$B$76)+$B$77*$B$71)/((($B38*$B$62+$B$63*$B$62*$B$64*$B$65*$B$67)-($B$68+$B$69*12+$B$70*12*$B$71))/12))</f>
        <v>1.60422456920511</v>
      </c>
      <c r="E38" s="27" t="n">
        <f aca="false">IF((($B38*$B$62+$B$63*$B$62*$B$64*$B$65*$B$67)-($B$68+$B$69*12+$B$70*12*$B$71))&lt;=0,999,((($B$72*$B$71+$B$73)/E$33+$B$75/$B$76)+$B$77*$B$71)/((($B38*$B$62+$B$63*$B$62*$B$64*$B$65*$B$67)-($B$68+$B$69*12+$B$70*12*$B$71))/12))</f>
        <v>1.38841840238041</v>
      </c>
      <c r="F38" s="27" t="n">
        <f aca="false">IF((($B38*$B$62+$B$63*$B$62*$B$64*$B$65*$B$67)-($B$68+$B$69*12+$B$70*12*$B$71))&lt;=0,999,((($B$72*$B$71+$B$73)/F$33+$B$75/$B$76)+$B$77*$B$71)/((($B38*$B$62+$B$63*$B$62*$B$64*$B$65*$B$67)-($B$68+$B$69*12+$B$70*12*$B$71))/12))</f>
        <v>1.23735408560311</v>
      </c>
      <c r="G38" s="27" t="n">
        <f aca="false">IF((($B38*$B$62+$B$63*$B$62*$B$64*$B$65*$B$67)-($B$68+$B$69*12+$B$70*12*$B$71))&lt;=0,999,((($B$72*$B$71+$B$73)/G$33+$B$75/$B$76)+$B$77*$B$71)/((($B38*$B$62+$B$63*$B$62*$B$64*$B$65*$B$67)-($B$68+$B$69*12+$B$70*12*$B$71))/12))</f>
        <v>1.12569785146337</v>
      </c>
      <c r="H38" s="27" t="n">
        <f aca="false">IF((($B38*$B$62+$B$63*$B$62*$B$64*$B$65*$B$67)-($B$68+$B$69*12+$B$70*12*$B$71))&lt;=0,999,((($B$72*$B$71+$B$73)/H$33+$B$75/$B$76)+$B$77*$B$71)/((($B38*$B$62+$B$63*$B$62*$B$64*$B$65*$B$67)-($B$68+$B$69*12+$B$70*12*$B$71))/12))</f>
        <v>1.03980844058665</v>
      </c>
      <c r="I38" s="27" t="n">
        <f aca="false">IF((($B38*$B$62+$B$63*$B$62*$B$64*$B$65*$B$67)-($B$68+$B$69*12+$B$70*12*$B$71))&lt;=0,999,((($B$72*$B$71+$B$73)/I$33+$B$75/$B$76)+$B$77*$B$71)/((($B38*$B$62+$B$63*$B$62*$B$64*$B$65*$B$67)-($B$68+$B$69*12+$B$70*12*$B$71))/12))</f>
        <v>0.95201037613489</v>
      </c>
    </row>
    <row r="39" customFormat="false" ht="15" hidden="false" customHeight="false" outlineLevel="0" collapsed="false">
      <c r="A39" s="39" t="n">
        <v>1.3</v>
      </c>
      <c r="B39" s="16" t="n">
        <f aca="false">$B$61*A39</f>
        <v>390000</v>
      </c>
      <c r="C39" s="27" t="n">
        <f aca="false">IF((($B39*$B$62+$B$63*$B$62*$B$64*$B$65*$B$67)-($B$68+$B$69*12+$B$70*12*$B$71))&lt;=0,999,((($B$72*$B$71+$B$73)/C$33+$B$75/$B$76)+$B$77*$B$71)/((($B39*$B$62+$B$63*$B$62*$B$64*$B$65*$B$67)-($B$68+$B$69*12+$B$70*12*$B$71))/12))</f>
        <v>1.88689171416046</v>
      </c>
      <c r="D39" s="27" t="n">
        <f aca="false">IF((($B39*$B$62+$B$63*$B$62*$B$64*$B$65*$B$67)-($B$68+$B$69*12+$B$70*12*$B$71))&lt;=0,999,((($B$72*$B$71+$B$73)/D$33+$B$75/$B$76)+$B$77*$B$71)/((($B39*$B$62+$B$63*$B$62*$B$64*$B$65*$B$67)-($B$68+$B$69*12+$B$70*12*$B$71))/12))</f>
        <v>1.44598233857331</v>
      </c>
      <c r="E39" s="27" t="n">
        <f aca="false">IF((($B39*$B$62+$B$63*$B$62*$B$64*$B$65*$B$67)-($B$68+$B$69*12+$B$70*12*$B$71))&lt;=0,999,((($B$72*$B$71+$B$73)/E$33+$B$75/$B$76)+$B$77*$B$71)/((($B39*$B$62+$B$63*$B$62*$B$64*$B$65*$B$67)-($B$68+$B$69*12+$B$70*12*$B$71))/12))</f>
        <v>1.25146349640251</v>
      </c>
      <c r="F39" s="27" t="n">
        <f aca="false">IF((($B39*$B$62+$B$63*$B$62*$B$64*$B$65*$B$67)-($B$68+$B$69*12+$B$70*12*$B$71))&lt;=0,999,((($B$72*$B$71+$B$73)/F$33+$B$75/$B$76)+$B$77*$B$71)/((($B39*$B$62+$B$63*$B$62*$B$64*$B$65*$B$67)-($B$68+$B$69*12+$B$70*12*$B$71))/12))</f>
        <v>1.11530030688295</v>
      </c>
      <c r="G39" s="27" t="n">
        <f aca="false">IF((($B39*$B$62+$B$63*$B$62*$B$64*$B$65*$B$67)-($B$68+$B$69*12+$B$70*12*$B$71))&lt;=0,999,((($B$72*$B$71+$B$73)/G$33+$B$75/$B$76)+$B$77*$B$71)/((($B39*$B$62+$B$63*$B$62*$B$64*$B$65*$B$67)-($B$68+$B$69*12+$B$70*12*$B$71))/12))</f>
        <v>1.01465794941197</v>
      </c>
      <c r="H39" s="27" t="n">
        <f aca="false">IF((($B39*$B$62+$B$63*$B$62*$B$64*$B$65*$B$67)-($B$68+$B$69*12+$B$70*12*$B$71))&lt;=0,999,((($B$72*$B$71+$B$73)/H$33+$B$75/$B$76)+$B$77*$B$71)/((($B39*$B$62+$B$63*$B$62*$B$64*$B$65*$B$67)-($B$68+$B$69*12+$B$70*12*$B$71))/12))</f>
        <v>0.937240751357367</v>
      </c>
      <c r="I39" s="27" t="n">
        <f aca="false">IF((($B39*$B$62+$B$63*$B$62*$B$64*$B$65*$B$67)-($B$68+$B$69*12+$B$70*12*$B$71))&lt;=0,999,((($B$72*$B$71+$B$73)/I$33+$B$75/$B$76)+$B$77*$B$71)/((($B39*$B$62+$B$63*$B$62*$B$64*$B$65*$B$67)-($B$68+$B$69*12+$B$70*12*$B$71))/12))</f>
        <v>0.858103171123776</v>
      </c>
    </row>
    <row r="40" customFormat="false" ht="15" hidden="false" customHeight="false" outlineLevel="0" collapsed="false">
      <c r="A40" s="39" t="n">
        <v>1.5</v>
      </c>
      <c r="B40" s="16" t="n">
        <f aca="false">$B$61*A40</f>
        <v>450000</v>
      </c>
      <c r="C40" s="27" t="n">
        <f aca="false">IF((($B40*$B$62+$B$63*$B$62*$B$64*$B$65*$B$67)-($B$68+$B$69*12+$B$70*12*$B$71))&lt;=0,999,((($B$72*$B$71+$B$73)/C$33+$B$75/$B$76)+$B$77*$B$71)/((($B40*$B$62+$B$63*$B$62*$B$64*$B$65*$B$67)-($B$68+$B$69*12+$B$70*12*$B$71))/12))</f>
        <v>1.66757070902751</v>
      </c>
      <c r="D40" s="27" t="n">
        <f aca="false">IF((($B40*$B$62+$B$63*$B$62*$B$64*$B$65*$B$67)-($B$68+$B$69*12+$B$70*12*$B$71))&lt;=0,999,((($B$72*$B$71+$B$73)/D$33+$B$75/$B$76)+$B$77*$B$71)/((($B40*$B$62+$B$63*$B$62*$B$64*$B$65*$B$67)-($B$68+$B$69*12+$B$70*12*$B$71))/12))</f>
        <v>1.27791000166049</v>
      </c>
      <c r="E40" s="27" t="n">
        <f aca="false">IF((($B40*$B$62+$B$63*$B$62*$B$64*$B$65*$B$67)-($B$68+$B$69*12+$B$70*12*$B$71))&lt;=0,999,((($B$72*$B$71+$B$73)/E$33+$B$75/$B$76)+$B$77*$B$71)/((($B40*$B$62+$B$63*$B$62*$B$64*$B$65*$B$67)-($B$68+$B$69*12+$B$70*12*$B$71))/12))</f>
        <v>1.10600086605739</v>
      </c>
      <c r="F40" s="27" t="n">
        <f aca="false">IF((($B40*$B$62+$B$63*$B$62*$B$64*$B$65*$B$67)-($B$68+$B$69*12+$B$70*12*$B$71))&lt;=0,999,((($B$72*$B$71+$B$73)/F$33+$B$75/$B$76)+$B$77*$B$71)/((($B40*$B$62+$B$63*$B$62*$B$64*$B$65*$B$67)-($B$68+$B$69*12+$B$70*12*$B$71))/12))</f>
        <v>0.985664471135219</v>
      </c>
      <c r="G40" s="27" t="n">
        <f aca="false">IF((($B40*$B$62+$B$63*$B$62*$B$64*$B$65*$B$67)-($B$68+$B$69*12+$B$70*12*$B$71))&lt;=0,999,((($B$72*$B$71+$B$73)/G$33+$B$75/$B$76)+$B$77*$B$71)/((($B40*$B$62+$B$63*$B$62*$B$64*$B$65*$B$67)-($B$68+$B$69*12+$B$70*12*$B$71))/12))</f>
        <v>0.896720179236225</v>
      </c>
      <c r="H40" s="27" t="n">
        <f aca="false">IF((($B40*$B$62+$B$63*$B$62*$B$64*$B$65*$B$67)-($B$68+$B$69*12+$B$70*12*$B$71))&lt;=0,999,((($B$72*$B$71+$B$73)/H$33+$B$75/$B$76)+$B$77*$B$71)/((($B40*$B$62+$B$63*$B$62*$B$64*$B$65*$B$67)-($B$68+$B$69*12+$B$70*12*$B$71))/12))</f>
        <v>0.828301493160075</v>
      </c>
      <c r="I40" s="27" t="n">
        <f aca="false">IF((($B40*$B$62+$B$63*$B$62*$B$64*$B$65*$B$67)-($B$68+$B$69*12+$B$70*12*$B$71))&lt;=0,999,((($B$72*$B$71+$B$73)/I$33+$B$75/$B$76)+$B$77*$B$71)/((($B40*$B$62+$B$63*$B$62*$B$64*$B$65*$B$67)-($B$68+$B$69*12+$B$70*12*$B$71))/12))</f>
        <v>0.758362391837789</v>
      </c>
    </row>
    <row r="42" customFormat="false" ht="15" hidden="false" customHeight="false" outlineLevel="0" collapsed="false">
      <c r="A42" s="4" t="s">
        <v>440</v>
      </c>
      <c r="B42" s="12" t="s">
        <v>438</v>
      </c>
      <c r="C42" s="39" t="n">
        <v>0.5</v>
      </c>
      <c r="D42" s="39" t="n">
        <v>0.7</v>
      </c>
      <c r="E42" s="39" t="n">
        <v>0.85</v>
      </c>
      <c r="F42" s="39" t="n">
        <v>1</v>
      </c>
      <c r="G42" s="39" t="n">
        <v>1.15</v>
      </c>
      <c r="H42" s="39" t="n">
        <v>1.3</v>
      </c>
      <c r="I42" s="39" t="n">
        <v>1.5</v>
      </c>
    </row>
    <row r="43" customFormat="false" ht="15" hidden="false" customHeight="false" outlineLevel="0" collapsed="false">
      <c r="B43" s="12" t="s">
        <v>439</v>
      </c>
      <c r="C43" s="23" t="n">
        <f aca="false">$B$74*C42</f>
        <v>0.05</v>
      </c>
      <c r="D43" s="23" t="n">
        <f aca="false">$B$74*D42</f>
        <v>0.07</v>
      </c>
      <c r="E43" s="23" t="n">
        <f aca="false">$B$74*E42</f>
        <v>0.085</v>
      </c>
      <c r="F43" s="23" t="n">
        <f aca="false">$B$74*F42</f>
        <v>0.1</v>
      </c>
      <c r="G43" s="23" t="n">
        <f aca="false">$B$74*G42</f>
        <v>0.115</v>
      </c>
      <c r="H43" s="23" t="n">
        <f aca="false">$B$74*H42</f>
        <v>0.13</v>
      </c>
      <c r="I43" s="23" t="n">
        <f aca="false">$B$74*I42</f>
        <v>0.15</v>
      </c>
    </row>
    <row r="44" customFormat="false" ht="15" hidden="false" customHeight="false" outlineLevel="0" collapsed="false">
      <c r="A44" s="39" t="n">
        <v>0.5</v>
      </c>
      <c r="B44" s="16" t="n">
        <f aca="false">$B$61*A44</f>
        <v>150000</v>
      </c>
      <c r="C44" s="31" t="n">
        <f aca="false">IF(((($B$72*$B$71+$B$73)/C$43+$B$75/$B$76)+$B$77*$B$71)=0,0,($B$88+(($B44*$B$62+$B$63*$B$62*$B$64*$B$65*$B$67)-($B$68+$B$69*12+$B$70*12*$B$71))/$B$78)/((($B$72*$B$71+$B$73)/C$43+$B$75/$B$76)+$B$77*$B$71))</f>
        <v>26.3661710037175</v>
      </c>
      <c r="D44" s="31" t="n">
        <f aca="false">IF(((($B$72*$B$71+$B$73)/D$43+$B$75/$B$76)+$B$77*$B$71)=0,0,($B$88+(($B44*$B$62+$B$63*$B$62*$B$64*$B$65*$B$67)-($B$68+$B$69*12+$B$70*12*$B$71))/$B$78)/((($B$72*$B$71+$B$73)/D$43+$B$75/$B$76)+$B$77*$B$71))</f>
        <v>34.4057519057519</v>
      </c>
      <c r="E44" s="31" t="n">
        <f aca="false">IF(((($B$72*$B$71+$B$73)/E$43+$B$75/$B$76)+$B$77*$B$71)=0,0,($B$88+(($B44*$B$62+$B$63*$B$62*$B$64*$B$65*$B$67)-($B$68+$B$69*12+$B$70*12*$B$71))/$B$78)/((($B$72*$B$71+$B$73)/E$43+$B$75/$B$76)+$B$77*$B$71))</f>
        <v>39.7535443455325</v>
      </c>
      <c r="F44" s="31" t="n">
        <f aca="false">IF(((($B$72*$B$71+$B$73)/F$43+$B$75/$B$76)+$B$77*$B$71)=0,0,($B$88+(($B44*$B$62+$B$63*$B$62*$B$64*$B$65*$B$67)-($B$68+$B$69*12+$B$70*12*$B$71))/$B$78)/((($B$72*$B$71+$B$73)/F$43+$B$75/$B$76)+$B$77*$B$71))</f>
        <v>44.6069182389937</v>
      </c>
      <c r="G44" s="31" t="n">
        <f aca="false">IF(((($B$72*$B$71+$B$73)/G$43+$B$75/$B$76)+$B$77*$B$71)=0,0,($B$88+(($B44*$B$62+$B$63*$B$62*$B$64*$B$65*$B$67)-($B$68+$B$69*12+$B$70*12*$B$71))/$B$78)/((($B$72*$B$71+$B$73)/G$43+$B$75/$B$76)+$B$77*$B$71))</f>
        <v>49.0314096783889</v>
      </c>
      <c r="H44" s="31" t="n">
        <f aca="false">IF(((($B$72*$B$71+$B$73)/H$43+$B$75/$B$76)+$B$77*$B$71)=0,0,($B$88+(($B44*$B$62+$B$63*$B$62*$B$64*$B$65*$B$67)-($B$68+$B$69*12+$B$70*12*$B$71))/$B$78)/((($B$72*$B$71+$B$73)/H$43+$B$75/$B$76)+$B$77*$B$71))</f>
        <v>53.0814622913069</v>
      </c>
      <c r="I44" s="31" t="n">
        <f aca="false">IF(((($B$72*$B$71+$B$73)/I$43+$B$75/$B$76)+$B$77*$B$71)=0,0,($B$88+(($B44*$B$62+$B$63*$B$62*$B$64*$B$65*$B$67)-($B$68+$B$69*12+$B$70*12*$B$71))/$B$78)/((($B$72*$B$71+$B$73)/I$43+$B$75/$B$76)+$B$77*$B$71))</f>
        <v>57.9768392370572</v>
      </c>
    </row>
    <row r="45" customFormat="false" ht="15" hidden="false" customHeight="false" outlineLevel="0" collapsed="false">
      <c r="A45" s="39" t="n">
        <v>0.7</v>
      </c>
      <c r="B45" s="16" t="n">
        <f aca="false">$B$61*A45</f>
        <v>210000</v>
      </c>
      <c r="C45" s="31" t="n">
        <f aca="false">IF(((($B$72*$B$71+$B$73)/C$43+$B$75/$B$76)+$B$77*$B$71)=0,0,($B$88+(($B45*$B$62+$B$63*$B$62*$B$64*$B$65*$B$67)-($B$68+$B$69*12+$B$70*12*$B$71))/$B$78)/((($B$72*$B$71+$B$73)/C$43+$B$75/$B$76)+$B$77*$B$71))</f>
        <v>31.9423791821561</v>
      </c>
      <c r="D45" s="31" t="n">
        <f aca="false">IF(((($B$72*$B$71+$B$73)/D$43+$B$75/$B$76)+$B$77*$B$71)=0,0,($B$88+(($B45*$B$62+$B$63*$B$62*$B$64*$B$65*$B$67)-($B$68+$B$69*12+$B$70*12*$B$71))/$B$78)/((($B$72*$B$71+$B$73)/D$43+$B$75/$B$76)+$B$77*$B$71))</f>
        <v>41.6822591822592</v>
      </c>
      <c r="E45" s="31" t="n">
        <f aca="false">IF(((($B$72*$B$71+$B$73)/E$43+$B$75/$B$76)+$B$77*$B$71)=0,0,($B$88+(($B45*$B$62+$B$63*$B$62*$B$64*$B$65*$B$67)-($B$68+$B$69*12+$B$70*12*$B$71))/$B$78)/((($B$72*$B$71+$B$73)/E$43+$B$75/$B$76)+$B$77*$B$71))</f>
        <v>48.1610616551269</v>
      </c>
      <c r="F45" s="31" t="n">
        <f aca="false">IF(((($B$72*$B$71+$B$73)/F$43+$B$75/$B$76)+$B$77*$B$71)=0,0,($B$88+(($B45*$B$62+$B$63*$B$62*$B$64*$B$65*$B$67)-($B$68+$B$69*12+$B$70*12*$B$71))/$B$78)/((($B$72*$B$71+$B$73)/F$43+$B$75/$B$76)+$B$77*$B$71))</f>
        <v>54.0408805031447</v>
      </c>
      <c r="G45" s="31" t="n">
        <f aca="false">IF(((($B$72*$B$71+$B$73)/G$43+$B$75/$B$76)+$B$77*$B$71)=0,0,($B$88+(($B45*$B$62+$B$63*$B$62*$B$64*$B$65*$B$67)-($B$68+$B$69*12+$B$70*12*$B$71))/$B$78)/((($B$72*$B$71+$B$73)/G$43+$B$75/$B$76)+$B$77*$B$71))</f>
        <v>59.4011121130147</v>
      </c>
      <c r="H45" s="31" t="n">
        <f aca="false">IF(((($B$72*$B$71+$B$73)/H$43+$B$75/$B$76)+$B$77*$B$71)=0,0,($B$88+(($B45*$B$62+$B$63*$B$62*$B$64*$B$65*$B$67)-($B$68+$B$69*12+$B$70*12*$B$71))/$B$78)/((($B$72*$B$71+$B$73)/H$43+$B$75/$B$76)+$B$77*$B$71))</f>
        <v>64.3077144502015</v>
      </c>
      <c r="I45" s="31" t="n">
        <f aca="false">IF(((($B$72*$B$71+$B$73)/I$43+$B$75/$B$76)+$B$77*$B$71)=0,0,($B$88+(($B45*$B$62+$B$63*$B$62*$B$64*$B$65*$B$67)-($B$68+$B$69*12+$B$70*12*$B$71))/$B$78)/((($B$72*$B$71+$B$73)/I$43+$B$75/$B$76)+$B$77*$B$71))</f>
        <v>70.2384196185286</v>
      </c>
    </row>
    <row r="46" customFormat="false" ht="15" hidden="false" customHeight="false" outlineLevel="0" collapsed="false">
      <c r="A46" s="39" t="n">
        <v>0.85</v>
      </c>
      <c r="B46" s="16" t="n">
        <f aca="false">$B$61*A46</f>
        <v>255000</v>
      </c>
      <c r="C46" s="31" t="n">
        <f aca="false">IF(((($B$72*$B$71+$B$73)/C$43+$B$75/$B$76)+$B$77*$B$71)=0,0,($B$88+(($B46*$B$62+$B$63*$B$62*$B$64*$B$65*$B$67)-($B$68+$B$69*12+$B$70*12*$B$71))/$B$78)/((($B$72*$B$71+$B$73)/C$43+$B$75/$B$76)+$B$77*$B$71))</f>
        <v>36.1245353159851</v>
      </c>
      <c r="D46" s="31" t="n">
        <f aca="false">IF(((($B$72*$B$71+$B$73)/D$43+$B$75/$B$76)+$B$77*$B$71)=0,0,($B$88+(($B46*$B$62+$B$63*$B$62*$B$64*$B$65*$B$67)-($B$68+$B$69*12+$B$70*12*$B$71))/$B$78)/((($B$72*$B$71+$B$73)/D$43+$B$75/$B$76)+$B$77*$B$71))</f>
        <v>47.1396396396396</v>
      </c>
      <c r="E46" s="31" t="n">
        <f aca="false">IF(((($B$72*$B$71+$B$73)/E$43+$B$75/$B$76)+$B$77*$B$71)=0,0,($B$88+(($B46*$B$62+$B$63*$B$62*$B$64*$B$65*$B$67)-($B$68+$B$69*12+$B$70*12*$B$71))/$B$78)/((($B$72*$B$71+$B$73)/E$43+$B$75/$B$76)+$B$77*$B$71))</f>
        <v>54.4666996373228</v>
      </c>
      <c r="F46" s="31" t="n">
        <f aca="false">IF(((($B$72*$B$71+$B$73)/F$43+$B$75/$B$76)+$B$77*$B$71)=0,0,($B$88+(($B46*$B$62+$B$63*$B$62*$B$64*$B$65*$B$67)-($B$68+$B$69*12+$B$70*12*$B$71))/$B$78)/((($B$72*$B$71+$B$73)/F$43+$B$75/$B$76)+$B$77*$B$71))</f>
        <v>61.1163522012579</v>
      </c>
      <c r="G46" s="31" t="n">
        <f aca="false">IF(((($B$72*$B$71+$B$73)/G$43+$B$75/$B$76)+$B$77*$B$71)=0,0,($B$88+(($B46*$B$62+$B$63*$B$62*$B$64*$B$65*$B$67)-($B$68+$B$69*12+$B$70*12*$B$71))/$B$78)/((($B$72*$B$71+$B$73)/G$43+$B$75/$B$76)+$B$77*$B$71))</f>
        <v>67.1783889389841</v>
      </c>
      <c r="H46" s="31" t="n">
        <f aca="false">IF(((($B$72*$B$71+$B$73)/H$43+$B$75/$B$76)+$B$77*$B$71)=0,0,($B$88+(($B46*$B$62+$B$63*$B$62*$B$64*$B$65*$B$67)-($B$68+$B$69*12+$B$70*12*$B$71))/$B$78)/((($B$72*$B$71+$B$73)/H$43+$B$75/$B$76)+$B$77*$B$71))</f>
        <v>72.7274035693725</v>
      </c>
      <c r="I46" s="31" t="n">
        <f aca="false">IF(((($B$72*$B$71+$B$73)/I$43+$B$75/$B$76)+$B$77*$B$71)=0,0,($B$88+(($B46*$B$62+$B$63*$B$62*$B$64*$B$65*$B$67)-($B$68+$B$69*12+$B$70*12*$B$71))/$B$78)/((($B$72*$B$71+$B$73)/I$43+$B$75/$B$76)+$B$77*$B$71))</f>
        <v>79.4346049046322</v>
      </c>
    </row>
    <row r="47" customFormat="false" ht="15" hidden="false" customHeight="false" outlineLevel="0" collapsed="false">
      <c r="A47" s="39" t="n">
        <v>1</v>
      </c>
      <c r="B47" s="16" t="n">
        <f aca="false">$B$61*A47</f>
        <v>300000</v>
      </c>
      <c r="C47" s="31" t="n">
        <f aca="false">IF(((($B$72*$B$71+$B$73)/C$43+$B$75/$B$76)+$B$77*$B$71)=0,0,($B$88+(($B47*$B$62+$B$63*$B$62*$B$64*$B$65*$B$67)-($B$68+$B$69*12+$B$70*12*$B$71))/$B$78)/((($B$72*$B$71+$B$73)/C$43+$B$75/$B$76)+$B$77*$B$71))</f>
        <v>40.3066914498141</v>
      </c>
      <c r="D47" s="31" t="n">
        <f aca="false">IF(((($B$72*$B$71+$B$73)/D$43+$B$75/$B$76)+$B$77*$B$71)=0,0,($B$88+(($B47*$B$62+$B$63*$B$62*$B$64*$B$65*$B$67)-($B$68+$B$69*12+$B$70*12*$B$71))/$B$78)/((($B$72*$B$71+$B$73)/D$43+$B$75/$B$76)+$B$77*$B$71))</f>
        <v>52.5970200970201</v>
      </c>
      <c r="E47" s="31" t="n">
        <f aca="false">IF(((($B$72*$B$71+$B$73)/E$43+$B$75/$B$76)+$B$77*$B$71)=0,0,($B$88+(($B47*$B$62+$B$63*$B$62*$B$64*$B$65*$B$67)-($B$68+$B$69*12+$B$70*12*$B$71))/$B$78)/((($B$72*$B$71+$B$73)/E$43+$B$75/$B$76)+$B$77*$B$71))</f>
        <v>60.7723376195186</v>
      </c>
      <c r="F47" s="41" t="n">
        <f aca="false">IF(((($B$72*$B$71+$B$73)/F$43+$B$75/$B$76)+$B$77*$B$71)=0,0,($B$88+(($B47*$B$62+$B$63*$B$62*$B$64*$B$65*$B$67)-($B$68+$B$69*12+$B$70*12*$B$71))/$B$78)/((($B$72*$B$71+$B$73)/F$43+$B$75/$B$76)+$B$77*$B$71))</f>
        <v>68.1918238993711</v>
      </c>
      <c r="G47" s="31" t="n">
        <f aca="false">IF(((($B$72*$B$71+$B$73)/G$43+$B$75/$B$76)+$B$77*$B$71)=0,0,($B$88+(($B47*$B$62+$B$63*$B$62*$B$64*$B$65*$B$67)-($B$68+$B$69*12+$B$70*12*$B$71))/$B$78)/((($B$72*$B$71+$B$73)/G$43+$B$75/$B$76)+$B$77*$B$71))</f>
        <v>74.9556657649534</v>
      </c>
      <c r="H47" s="31" t="n">
        <f aca="false">IF(((($B$72*$B$71+$B$73)/H$43+$B$75/$B$76)+$B$77*$B$71)=0,0,($B$88+(($B47*$B$62+$B$63*$B$62*$B$64*$B$65*$B$67)-($B$68+$B$69*12+$B$70*12*$B$71))/$B$78)/((($B$72*$B$71+$B$73)/H$43+$B$75/$B$76)+$B$77*$B$71))</f>
        <v>81.1470926885435</v>
      </c>
      <c r="I47" s="31" t="n">
        <f aca="false">IF(((($B$72*$B$71+$B$73)/I$43+$B$75/$B$76)+$B$77*$B$71)=0,0,($B$88+(($B47*$B$62+$B$63*$B$62*$B$64*$B$65*$B$67)-($B$68+$B$69*12+$B$70*12*$B$71))/$B$78)/((($B$72*$B$71+$B$73)/I$43+$B$75/$B$76)+$B$77*$B$71))</f>
        <v>88.6307901907357</v>
      </c>
    </row>
    <row r="48" customFormat="false" ht="15" hidden="false" customHeight="false" outlineLevel="0" collapsed="false">
      <c r="A48" s="39" t="n">
        <v>1.15</v>
      </c>
      <c r="B48" s="16" t="n">
        <f aca="false">$B$61*A48</f>
        <v>345000</v>
      </c>
      <c r="C48" s="31" t="n">
        <f aca="false">IF(((($B$72*$B$71+$B$73)/C$43+$B$75/$B$76)+$B$77*$B$71)=0,0,($B$88+(($B48*$B$62+$B$63*$B$62*$B$64*$B$65*$B$67)-($B$68+$B$69*12+$B$70*12*$B$71))/$B$78)/((($B$72*$B$71+$B$73)/C$43+$B$75/$B$76)+$B$77*$B$71))</f>
        <v>44.4888475836431</v>
      </c>
      <c r="D48" s="31" t="n">
        <f aca="false">IF(((($B$72*$B$71+$B$73)/D$43+$B$75/$B$76)+$B$77*$B$71)=0,0,($B$88+(($B48*$B$62+$B$63*$B$62*$B$64*$B$65*$B$67)-($B$68+$B$69*12+$B$70*12*$B$71))/$B$78)/((($B$72*$B$71+$B$73)/D$43+$B$75/$B$76)+$B$77*$B$71))</f>
        <v>58.0544005544005</v>
      </c>
      <c r="E48" s="31" t="n">
        <f aca="false">IF(((($B$72*$B$71+$B$73)/E$43+$B$75/$B$76)+$B$77*$B$71)=0,0,($B$88+(($B48*$B$62+$B$63*$B$62*$B$64*$B$65*$B$67)-($B$68+$B$69*12+$B$70*12*$B$71))/$B$78)/((($B$72*$B$71+$B$73)/E$43+$B$75/$B$76)+$B$77*$B$71))</f>
        <v>67.0779756017145</v>
      </c>
      <c r="F48" s="31" t="n">
        <f aca="false">IF(((($B$72*$B$71+$B$73)/F$43+$B$75/$B$76)+$B$77*$B$71)=0,0,($B$88+(($B48*$B$62+$B$63*$B$62*$B$64*$B$65*$B$67)-($B$68+$B$69*12+$B$70*12*$B$71))/$B$78)/((($B$72*$B$71+$B$73)/F$43+$B$75/$B$76)+$B$77*$B$71))</f>
        <v>75.2672955974843</v>
      </c>
      <c r="G48" s="31" t="n">
        <f aca="false">IF(((($B$72*$B$71+$B$73)/G$43+$B$75/$B$76)+$B$77*$B$71)=0,0,($B$88+(($B48*$B$62+$B$63*$B$62*$B$64*$B$65*$B$67)-($B$68+$B$69*12+$B$70*12*$B$71))/$B$78)/((($B$72*$B$71+$B$73)/G$43+$B$75/$B$76)+$B$77*$B$71))</f>
        <v>82.7329425909228</v>
      </c>
      <c r="H48" s="31" t="n">
        <f aca="false">IF(((($B$72*$B$71+$B$73)/H$43+$B$75/$B$76)+$B$77*$B$71)=0,0,($B$88+(($B48*$B$62+$B$63*$B$62*$B$64*$B$65*$B$67)-($B$68+$B$69*12+$B$70*12*$B$71))/$B$78)/((($B$72*$B$71+$B$73)/H$43+$B$75/$B$76)+$B$77*$B$71))</f>
        <v>89.5667818077145</v>
      </c>
      <c r="I48" s="31" t="n">
        <f aca="false">IF(((($B$72*$B$71+$B$73)/I$43+$B$75/$B$76)+$B$77*$B$71)=0,0,($B$88+(($B48*$B$62+$B$63*$B$62*$B$64*$B$65*$B$67)-($B$68+$B$69*12+$B$70*12*$B$71))/$B$78)/((($B$72*$B$71+$B$73)/I$43+$B$75/$B$76)+$B$77*$B$71))</f>
        <v>97.8269754768393</v>
      </c>
    </row>
    <row r="49" customFormat="false" ht="15" hidden="false" customHeight="false" outlineLevel="0" collapsed="false">
      <c r="A49" s="39" t="n">
        <v>1.3</v>
      </c>
      <c r="B49" s="16" t="n">
        <f aca="false">$B$61*A49</f>
        <v>390000</v>
      </c>
      <c r="C49" s="31" t="n">
        <f aca="false">IF(((($B$72*$B$71+$B$73)/C$43+$B$75/$B$76)+$B$77*$B$71)=0,0,($B$88+(($B49*$B$62+$B$63*$B$62*$B$64*$B$65*$B$67)-($B$68+$B$69*12+$B$70*12*$B$71))/$B$78)/((($B$72*$B$71+$B$73)/C$43+$B$75/$B$76)+$B$77*$B$71))</f>
        <v>48.6710037174721</v>
      </c>
      <c r="D49" s="31" t="n">
        <f aca="false">IF(((($B$72*$B$71+$B$73)/D$43+$B$75/$B$76)+$B$77*$B$71)=0,0,($B$88+(($B49*$B$62+$B$63*$B$62*$B$64*$B$65*$B$67)-($B$68+$B$69*12+$B$70*12*$B$71))/$B$78)/((($B$72*$B$71+$B$73)/D$43+$B$75/$B$76)+$B$77*$B$71))</f>
        <v>63.511781011781</v>
      </c>
      <c r="E49" s="31" t="n">
        <f aca="false">IF(((($B$72*$B$71+$B$73)/E$43+$B$75/$B$76)+$B$77*$B$71)=0,0,($B$88+(($B49*$B$62+$B$63*$B$62*$B$64*$B$65*$B$67)-($B$68+$B$69*12+$B$70*12*$B$71))/$B$78)/((($B$72*$B$71+$B$73)/E$43+$B$75/$B$76)+$B$77*$B$71))</f>
        <v>73.3836135839103</v>
      </c>
      <c r="F49" s="31" t="n">
        <f aca="false">IF(((($B$72*$B$71+$B$73)/F$43+$B$75/$B$76)+$B$77*$B$71)=0,0,($B$88+(($B49*$B$62+$B$63*$B$62*$B$64*$B$65*$B$67)-($B$68+$B$69*12+$B$70*12*$B$71))/$B$78)/((($B$72*$B$71+$B$73)/F$43+$B$75/$B$76)+$B$77*$B$71))</f>
        <v>82.3427672955975</v>
      </c>
      <c r="G49" s="31" t="n">
        <f aca="false">IF(((($B$72*$B$71+$B$73)/G$43+$B$75/$B$76)+$B$77*$B$71)=0,0,($B$88+(($B49*$B$62+$B$63*$B$62*$B$64*$B$65*$B$67)-($B$68+$B$69*12+$B$70*12*$B$71))/$B$78)/((($B$72*$B$71+$B$73)/G$43+$B$75/$B$76)+$B$77*$B$71))</f>
        <v>90.5102194168921</v>
      </c>
      <c r="H49" s="31" t="n">
        <f aca="false">IF(((($B$72*$B$71+$B$73)/H$43+$B$75/$B$76)+$B$77*$B$71)=0,0,($B$88+(($B49*$B$62+$B$63*$B$62*$B$64*$B$65*$B$67)-($B$68+$B$69*12+$B$70*12*$B$71))/$B$78)/((($B$72*$B$71+$B$73)/H$43+$B$75/$B$76)+$B$77*$B$71))</f>
        <v>97.9864709268855</v>
      </c>
      <c r="I49" s="31" t="n">
        <f aca="false">IF(((($B$72*$B$71+$B$73)/I$43+$B$75/$B$76)+$B$77*$B$71)=0,0,($B$88+(($B49*$B$62+$B$63*$B$62*$B$64*$B$65*$B$67)-($B$68+$B$69*12+$B$70*12*$B$71))/$B$78)/((($B$72*$B$71+$B$73)/I$43+$B$75/$B$76)+$B$77*$B$71))</f>
        <v>107.023160762943</v>
      </c>
    </row>
    <row r="50" customFormat="false" ht="15" hidden="false" customHeight="false" outlineLevel="0" collapsed="false">
      <c r="A50" s="39" t="n">
        <v>1.5</v>
      </c>
      <c r="B50" s="16" t="n">
        <f aca="false">$B$61*A50</f>
        <v>450000</v>
      </c>
      <c r="C50" s="31" t="n">
        <f aca="false">IF(((($B$72*$B$71+$B$73)/C$43+$B$75/$B$76)+$B$77*$B$71)=0,0,($B$88+(($B50*$B$62+$B$63*$B$62*$B$64*$B$65*$B$67)-($B$68+$B$69*12+$B$70*12*$B$71))/$B$78)/((($B$72*$B$71+$B$73)/C$43+$B$75/$B$76)+$B$77*$B$71))</f>
        <v>54.2472118959108</v>
      </c>
      <c r="D50" s="31" t="n">
        <f aca="false">IF(((($B$72*$B$71+$B$73)/D$43+$B$75/$B$76)+$B$77*$B$71)=0,0,($B$88+(($B50*$B$62+$B$63*$B$62*$B$64*$B$65*$B$67)-($B$68+$B$69*12+$B$70*12*$B$71))/$B$78)/((($B$72*$B$71+$B$73)/D$43+$B$75/$B$76)+$B$77*$B$71))</f>
        <v>70.7882882882883</v>
      </c>
      <c r="E50" s="31" t="n">
        <f aca="false">IF(((($B$72*$B$71+$B$73)/E$43+$B$75/$B$76)+$B$77*$B$71)=0,0,($B$88+(($B50*$B$62+$B$63*$B$62*$B$64*$B$65*$B$67)-($B$68+$B$69*12+$B$70*12*$B$71))/$B$78)/((($B$72*$B$71+$B$73)/E$43+$B$75/$B$76)+$B$77*$B$71))</f>
        <v>81.7911308935048</v>
      </c>
      <c r="F50" s="31" t="n">
        <f aca="false">IF(((($B$72*$B$71+$B$73)/F$43+$B$75/$B$76)+$B$77*$B$71)=0,0,($B$88+(($B50*$B$62+$B$63*$B$62*$B$64*$B$65*$B$67)-($B$68+$B$69*12+$B$70*12*$B$71))/$B$78)/((($B$72*$B$71+$B$73)/F$43+$B$75/$B$76)+$B$77*$B$71))</f>
        <v>91.7767295597484</v>
      </c>
      <c r="G50" s="31" t="n">
        <f aca="false">IF(((($B$72*$B$71+$B$73)/G$43+$B$75/$B$76)+$B$77*$B$71)=0,0,($B$88+(($B50*$B$62+$B$63*$B$62*$B$64*$B$65*$B$67)-($B$68+$B$69*12+$B$70*12*$B$71))/$B$78)/((($B$72*$B$71+$B$73)/G$43+$B$75/$B$76)+$B$77*$B$71))</f>
        <v>100.879921851518</v>
      </c>
      <c r="H50" s="31" t="n">
        <f aca="false">IF(((($B$72*$B$71+$B$73)/H$43+$B$75/$B$76)+$B$77*$B$71)=0,0,($B$88+(($B50*$B$62+$B$63*$B$62*$B$64*$B$65*$B$67)-($B$68+$B$69*12+$B$70*12*$B$71))/$B$78)/((($B$72*$B$71+$B$73)/H$43+$B$75/$B$76)+$B$77*$B$71))</f>
        <v>109.21272308578</v>
      </c>
      <c r="I50" s="31" t="n">
        <f aca="false">IF(((($B$72*$B$71+$B$73)/I$43+$B$75/$B$76)+$B$77*$B$71)=0,0,($B$88+(($B50*$B$62+$B$63*$B$62*$B$64*$B$65*$B$67)-($B$68+$B$69*12+$B$70*12*$B$71))/$B$78)/((($B$72*$B$71+$B$73)/I$43+$B$75/$B$76)+$B$77*$B$71))</f>
        <v>119.284741144414</v>
      </c>
    </row>
    <row r="59" customFormat="false" ht="15" hidden="false" customHeight="false" outlineLevel="0" collapsed="false">
      <c r="A59" s="34" t="s">
        <v>441</v>
      </c>
    </row>
    <row r="60" customFormat="false" ht="45" hidden="false" customHeight="true" outlineLevel="0" collapsed="false">
      <c r="A60" s="9" t="s">
        <v>442</v>
      </c>
      <c r="B60" s="9" t="s">
        <v>30</v>
      </c>
      <c r="C60" s="9" t="s">
        <v>443</v>
      </c>
      <c r="D60" s="9" t="s">
        <v>444</v>
      </c>
      <c r="E60" s="9" t="s">
        <v>445</v>
      </c>
      <c r="F60" s="9" t="s">
        <v>446</v>
      </c>
      <c r="G60" s="9" t="s">
        <v>447</v>
      </c>
      <c r="H60" s="9" t="s">
        <v>448</v>
      </c>
      <c r="I60" s="9" t="s">
        <v>449</v>
      </c>
      <c r="J60" s="9" t="s">
        <v>450</v>
      </c>
      <c r="K60" s="9" t="s">
        <v>451</v>
      </c>
      <c r="L60" s="9" t="s">
        <v>452</v>
      </c>
    </row>
    <row r="61" customFormat="false" ht="15" hidden="false" customHeight="false" outlineLevel="0" collapsed="false">
      <c r="A61" s="6" t="s">
        <v>453</v>
      </c>
      <c r="B61" s="30" t="n">
        <f aca="false">Assumptions!$D$23</f>
        <v>300000</v>
      </c>
      <c r="C61" s="42" t="n">
        <f aca="false">$B61*(1+$B$4)</f>
        <v>210000</v>
      </c>
      <c r="D61" s="42" t="n">
        <f aca="false">$B61*(1+$C$4)</f>
        <v>390000</v>
      </c>
      <c r="E61" s="16" t="n">
        <f aca="false">$B61</f>
        <v>300000</v>
      </c>
      <c r="F61" s="16" t="n">
        <f aca="false">$B61</f>
        <v>300000</v>
      </c>
      <c r="G61" s="16" t="n">
        <f aca="false">$B61</f>
        <v>300000</v>
      </c>
      <c r="H61" s="16" t="n">
        <f aca="false">$B61</f>
        <v>300000</v>
      </c>
      <c r="I61" s="16" t="n">
        <f aca="false">$B61</f>
        <v>300000</v>
      </c>
      <c r="J61" s="16" t="n">
        <f aca="false">$B61</f>
        <v>300000</v>
      </c>
      <c r="K61" s="16" t="n">
        <f aca="false">$B61</f>
        <v>300000</v>
      </c>
      <c r="L61" s="16" t="n">
        <f aca="false">$B61</f>
        <v>300000</v>
      </c>
    </row>
    <row r="62" customFormat="false" ht="15" hidden="false" customHeight="false" outlineLevel="0" collapsed="false">
      <c r="A62" s="6" t="s">
        <v>454</v>
      </c>
      <c r="B62" s="33" t="n">
        <f aca="false">Assumptions!$D$24</f>
        <v>1.5</v>
      </c>
      <c r="C62" s="27" t="n">
        <f aca="false">$B62</f>
        <v>1.5</v>
      </c>
      <c r="D62" s="27" t="n">
        <f aca="false">$B62</f>
        <v>1.5</v>
      </c>
      <c r="E62" s="27" t="n">
        <f aca="false">$B62</f>
        <v>1.5</v>
      </c>
      <c r="F62" s="27" t="n">
        <f aca="false">$B62</f>
        <v>1.5</v>
      </c>
      <c r="G62" s="27" t="n">
        <f aca="false">$B62</f>
        <v>1.5</v>
      </c>
      <c r="H62" s="27" t="n">
        <f aca="false">$B62</f>
        <v>1.5</v>
      </c>
      <c r="I62" s="27" t="n">
        <f aca="false">$B62</f>
        <v>1.5</v>
      </c>
      <c r="J62" s="27" t="n">
        <f aca="false">$B62</f>
        <v>1.5</v>
      </c>
      <c r="K62" s="27" t="n">
        <f aca="false">$B62</f>
        <v>1.5</v>
      </c>
      <c r="L62" s="27" t="n">
        <f aca="false">$B62</f>
        <v>1.5</v>
      </c>
    </row>
    <row r="63" customFormat="false" ht="15" hidden="false" customHeight="false" outlineLevel="0" collapsed="false">
      <c r="A63" s="6" t="s">
        <v>247</v>
      </c>
      <c r="B63" s="30" t="n">
        <f aca="false">Assumptions!$D$18</f>
        <v>100000000</v>
      </c>
      <c r="C63" s="16" t="n">
        <f aca="false">$B63</f>
        <v>100000000</v>
      </c>
      <c r="D63" s="16" t="n">
        <f aca="false">$B63</f>
        <v>100000000</v>
      </c>
      <c r="E63" s="16" t="n">
        <f aca="false">$B63</f>
        <v>100000000</v>
      </c>
      <c r="F63" s="16" t="n">
        <f aca="false">$B63</f>
        <v>100000000</v>
      </c>
      <c r="G63" s="16" t="n">
        <f aca="false">$B63</f>
        <v>100000000</v>
      </c>
      <c r="H63" s="16" t="n">
        <f aca="false">$B63</f>
        <v>100000000</v>
      </c>
      <c r="I63" s="16" t="n">
        <f aca="false">$B63</f>
        <v>100000000</v>
      </c>
      <c r="J63" s="16" t="n">
        <f aca="false">$B63</f>
        <v>100000000</v>
      </c>
      <c r="K63" s="16" t="n">
        <f aca="false">$B63</f>
        <v>100000000</v>
      </c>
      <c r="L63" s="16" t="n">
        <f aca="false">$B63</f>
        <v>100000000</v>
      </c>
    </row>
    <row r="64" customFormat="false" ht="15" hidden="false" customHeight="false" outlineLevel="0" collapsed="false">
      <c r="A64" s="6" t="s">
        <v>431</v>
      </c>
      <c r="B64" s="43" t="n">
        <f aca="false">Assumptions!$D$19</f>
        <v>0.015</v>
      </c>
      <c r="C64" s="23" t="n">
        <f aca="false">$B64</f>
        <v>0.015</v>
      </c>
      <c r="D64" s="23" t="n">
        <f aca="false">$B64</f>
        <v>0.015</v>
      </c>
      <c r="E64" s="23" t="n">
        <f aca="false">$B64</f>
        <v>0.015</v>
      </c>
      <c r="F64" s="23" t="n">
        <f aca="false">$B64</f>
        <v>0.015</v>
      </c>
      <c r="G64" s="44" t="n">
        <f aca="false">$B64*(1+$B$4)</f>
        <v>0.0105</v>
      </c>
      <c r="H64" s="44" t="n">
        <f aca="false">$B64*(1+$C$4)</f>
        <v>0.0195</v>
      </c>
      <c r="I64" s="23" t="n">
        <f aca="false">$B64</f>
        <v>0.015</v>
      </c>
      <c r="J64" s="23" t="n">
        <f aca="false">$B64</f>
        <v>0.015</v>
      </c>
      <c r="K64" s="23" t="n">
        <f aca="false">$B64</f>
        <v>0.015</v>
      </c>
      <c r="L64" s="23" t="n">
        <f aca="false">$B64</f>
        <v>0.015</v>
      </c>
    </row>
    <row r="65" customFormat="false" ht="15" hidden="false" customHeight="false" outlineLevel="0" collapsed="false">
      <c r="A65" s="6" t="s">
        <v>455</v>
      </c>
      <c r="B65" s="43" t="n">
        <f aca="false">Assumptions!$D$20</f>
        <v>0.2</v>
      </c>
      <c r="C65" s="23" t="n">
        <f aca="false">$B65</f>
        <v>0.2</v>
      </c>
      <c r="D65" s="23" t="n">
        <f aca="false">$B65</f>
        <v>0.2</v>
      </c>
      <c r="E65" s="23" t="n">
        <f aca="false">$B65</f>
        <v>0.2</v>
      </c>
      <c r="F65" s="23" t="n">
        <f aca="false">$B65</f>
        <v>0.2</v>
      </c>
      <c r="G65" s="23" t="n">
        <f aca="false">$B65</f>
        <v>0.2</v>
      </c>
      <c r="H65" s="23" t="n">
        <f aca="false">$B65</f>
        <v>0.2</v>
      </c>
      <c r="I65" s="23" t="n">
        <f aca="false">$B65</f>
        <v>0.2</v>
      </c>
      <c r="J65" s="23" t="n">
        <f aca="false">$B65</f>
        <v>0.2</v>
      </c>
      <c r="K65" s="23" t="n">
        <f aca="false">$B65</f>
        <v>0.2</v>
      </c>
      <c r="L65" s="23" t="n">
        <f aca="false">$B65</f>
        <v>0.2</v>
      </c>
    </row>
    <row r="66" customFormat="false" ht="15" hidden="false" customHeight="false" outlineLevel="0" collapsed="false">
      <c r="A66" s="6" t="s">
        <v>456</v>
      </c>
      <c r="B66" s="32" t="n">
        <f aca="false">Assumptions!$D$21</f>
        <v>18</v>
      </c>
      <c r="C66" s="14" t="n">
        <f aca="false">$B66</f>
        <v>18</v>
      </c>
      <c r="D66" s="14" t="n">
        <f aca="false">$B66</f>
        <v>18</v>
      </c>
      <c r="E66" s="14" t="n">
        <f aca="false">$B66</f>
        <v>18</v>
      </c>
      <c r="F66" s="14" t="n">
        <f aca="false">$B66</f>
        <v>18</v>
      </c>
      <c r="G66" s="14" t="n">
        <f aca="false">$B66</f>
        <v>18</v>
      </c>
      <c r="H66" s="14" t="n">
        <f aca="false">$B66</f>
        <v>18</v>
      </c>
      <c r="I66" s="14" t="n">
        <f aca="false">$B66</f>
        <v>18</v>
      </c>
      <c r="J66" s="14" t="n">
        <f aca="false">$B66</f>
        <v>18</v>
      </c>
      <c r="K66" s="14" t="n">
        <f aca="false">$B66</f>
        <v>18</v>
      </c>
      <c r="L66" s="14" t="n">
        <f aca="false">$B66</f>
        <v>18</v>
      </c>
    </row>
    <row r="67" customFormat="false" ht="15" hidden="false" customHeight="false" outlineLevel="0" collapsed="false">
      <c r="A67" s="6" t="s">
        <v>457</v>
      </c>
      <c r="B67" s="43" t="n">
        <f aca="false">Assumptions!$D$22</f>
        <v>0.25</v>
      </c>
      <c r="C67" s="23" t="n">
        <f aca="false">$B67</f>
        <v>0.25</v>
      </c>
      <c r="D67" s="23" t="n">
        <f aca="false">$B67</f>
        <v>0.25</v>
      </c>
      <c r="E67" s="23" t="n">
        <f aca="false">$B67</f>
        <v>0.25</v>
      </c>
      <c r="F67" s="23" t="n">
        <f aca="false">$B67</f>
        <v>0.25</v>
      </c>
      <c r="G67" s="23" t="n">
        <f aca="false">$B67</f>
        <v>0.25</v>
      </c>
      <c r="H67" s="23" t="n">
        <f aca="false">$B67</f>
        <v>0.25</v>
      </c>
      <c r="I67" s="23" t="n">
        <f aca="false">$B67</f>
        <v>0.25</v>
      </c>
      <c r="J67" s="23" t="n">
        <f aca="false">$B67</f>
        <v>0.25</v>
      </c>
      <c r="K67" s="23" t="n">
        <f aca="false">$B67</f>
        <v>0.25</v>
      </c>
      <c r="L67" s="23" t="n">
        <f aca="false">$B67</f>
        <v>0.25</v>
      </c>
    </row>
    <row r="68" customFormat="false" ht="15" hidden="false" customHeight="false" outlineLevel="0" collapsed="false">
      <c r="A68" s="6" t="s">
        <v>458</v>
      </c>
      <c r="B68" s="30" t="n">
        <f aca="false">Assumptions!$D$31</f>
        <v>0</v>
      </c>
      <c r="C68" s="16" t="n">
        <f aca="false">$B68</f>
        <v>0</v>
      </c>
      <c r="D68" s="16" t="n">
        <f aca="false">$B68</f>
        <v>0</v>
      </c>
      <c r="E68" s="16" t="n">
        <f aca="false">$B68</f>
        <v>0</v>
      </c>
      <c r="F68" s="16" t="n">
        <f aca="false">$B68</f>
        <v>0</v>
      </c>
      <c r="G68" s="16" t="n">
        <f aca="false">$B68</f>
        <v>0</v>
      </c>
      <c r="H68" s="16" t="n">
        <f aca="false">$B68</f>
        <v>0</v>
      </c>
      <c r="I68" s="16" t="n">
        <f aca="false">$B68</f>
        <v>0</v>
      </c>
      <c r="J68" s="16" t="n">
        <f aca="false">$B68</f>
        <v>0</v>
      </c>
      <c r="K68" s="16" t="n">
        <f aca="false">$B68</f>
        <v>0</v>
      </c>
      <c r="L68" s="16" t="n">
        <f aca="false">$B68</f>
        <v>0</v>
      </c>
    </row>
    <row r="69" customFormat="false" ht="15" hidden="false" customHeight="false" outlineLevel="0" collapsed="false">
      <c r="A69" s="6" t="s">
        <v>459</v>
      </c>
      <c r="B69" s="30" t="n">
        <f aca="false">Assumptions!$D$32</f>
        <v>100</v>
      </c>
      <c r="C69" s="16" t="n">
        <f aca="false">$B69</f>
        <v>100</v>
      </c>
      <c r="D69" s="16" t="n">
        <f aca="false">$B69</f>
        <v>100</v>
      </c>
      <c r="E69" s="16" t="n">
        <f aca="false">$B69</f>
        <v>100</v>
      </c>
      <c r="F69" s="16" t="n">
        <f aca="false">$B69</f>
        <v>100</v>
      </c>
      <c r="G69" s="16" t="n">
        <f aca="false">$B69</f>
        <v>100</v>
      </c>
      <c r="H69" s="16" t="n">
        <f aca="false">$B69</f>
        <v>100</v>
      </c>
      <c r="I69" s="16" t="n">
        <f aca="false">$B69</f>
        <v>100</v>
      </c>
      <c r="J69" s="16" t="n">
        <f aca="false">$B69</f>
        <v>100</v>
      </c>
      <c r="K69" s="16" t="n">
        <f aca="false">$B69</f>
        <v>100</v>
      </c>
      <c r="L69" s="16" t="n">
        <f aca="false">$B69</f>
        <v>100</v>
      </c>
    </row>
    <row r="70" customFormat="false" ht="15" hidden="false" customHeight="false" outlineLevel="0" collapsed="false">
      <c r="A70" s="6" t="s">
        <v>460</v>
      </c>
      <c r="B70" s="33" t="n">
        <f aca="false">Assumptions!$D$29</f>
        <v>2.5</v>
      </c>
      <c r="C70" s="27" t="n">
        <f aca="false">$B70</f>
        <v>2.5</v>
      </c>
      <c r="D70" s="27" t="n">
        <f aca="false">$B70</f>
        <v>2.5</v>
      </c>
      <c r="E70" s="27" t="n">
        <f aca="false">$B70</f>
        <v>2.5</v>
      </c>
      <c r="F70" s="27" t="n">
        <f aca="false">$B70</f>
        <v>2.5</v>
      </c>
      <c r="G70" s="27" t="n">
        <f aca="false">$B70</f>
        <v>2.5</v>
      </c>
      <c r="H70" s="27" t="n">
        <f aca="false">$B70</f>
        <v>2.5</v>
      </c>
      <c r="I70" s="27" t="n">
        <f aca="false">$B70</f>
        <v>2.5</v>
      </c>
      <c r="J70" s="27" t="n">
        <f aca="false">$B70</f>
        <v>2.5</v>
      </c>
      <c r="K70" s="27" t="n">
        <f aca="false">$B70</f>
        <v>2.5</v>
      </c>
      <c r="L70" s="27" t="n">
        <f aca="false">$B70</f>
        <v>2.5</v>
      </c>
    </row>
    <row r="71" customFormat="false" ht="15" hidden="false" customHeight="false" outlineLevel="0" collapsed="false">
      <c r="A71" s="6" t="s">
        <v>461</v>
      </c>
      <c r="B71" s="30" t="n">
        <f aca="false">Assumptions!$D$9</f>
        <v>400</v>
      </c>
      <c r="C71" s="16" t="n">
        <f aca="false">$B71</f>
        <v>400</v>
      </c>
      <c r="D71" s="16" t="n">
        <f aca="false">$B71</f>
        <v>400</v>
      </c>
      <c r="E71" s="16" t="n">
        <f aca="false">$B71</f>
        <v>400</v>
      </c>
      <c r="F71" s="16" t="n">
        <f aca="false">$B71</f>
        <v>400</v>
      </c>
      <c r="G71" s="16" t="n">
        <f aca="false">$B71</f>
        <v>400</v>
      </c>
      <c r="H71" s="16" t="n">
        <f aca="false">$B71</f>
        <v>400</v>
      </c>
      <c r="I71" s="16" t="n">
        <f aca="false">$B71</f>
        <v>400</v>
      </c>
      <c r="J71" s="16" t="n">
        <f aca="false">$B71</f>
        <v>400</v>
      </c>
      <c r="K71" s="16" t="n">
        <f aca="false">$B71</f>
        <v>400</v>
      </c>
      <c r="L71" s="16" t="n">
        <f aca="false">$B71</f>
        <v>400</v>
      </c>
    </row>
    <row r="72" customFormat="false" ht="15" hidden="false" customHeight="false" outlineLevel="0" collapsed="false">
      <c r="A72" s="6" t="s">
        <v>462</v>
      </c>
      <c r="B72" s="32" t="n">
        <f aca="false">Assumptions!$D$37</f>
        <v>6</v>
      </c>
      <c r="C72" s="14" t="n">
        <f aca="false">$B72</f>
        <v>6</v>
      </c>
      <c r="D72" s="14" t="n">
        <f aca="false">$B72</f>
        <v>6</v>
      </c>
      <c r="E72" s="14" t="n">
        <f aca="false">$B72</f>
        <v>6</v>
      </c>
      <c r="F72" s="14" t="n">
        <f aca="false">$B72</f>
        <v>6</v>
      </c>
      <c r="G72" s="14" t="n">
        <f aca="false">$B72</f>
        <v>6</v>
      </c>
      <c r="H72" s="14" t="n">
        <f aca="false">$B72</f>
        <v>6</v>
      </c>
      <c r="I72" s="14" t="n">
        <f aca="false">$B72</f>
        <v>6</v>
      </c>
      <c r="J72" s="14" t="n">
        <f aca="false">$B72</f>
        <v>6</v>
      </c>
      <c r="K72" s="45" t="n">
        <f aca="false">$B72*(1+$B$4)</f>
        <v>4.2</v>
      </c>
      <c r="L72" s="45" t="n">
        <f aca="false">$B72*(1+$C$4)</f>
        <v>7.8</v>
      </c>
    </row>
    <row r="73" customFormat="false" ht="15" hidden="false" customHeight="false" outlineLevel="0" collapsed="false">
      <c r="A73" s="6" t="s">
        <v>463</v>
      </c>
      <c r="B73" s="30" t="n">
        <f aca="false">Assumptions!$D$38</f>
        <v>2000</v>
      </c>
      <c r="C73" s="16" t="n">
        <f aca="false">$B73</f>
        <v>2000</v>
      </c>
      <c r="D73" s="16" t="n">
        <f aca="false">$B73</f>
        <v>2000</v>
      </c>
      <c r="E73" s="16" t="n">
        <f aca="false">$B73</f>
        <v>2000</v>
      </c>
      <c r="F73" s="16" t="n">
        <f aca="false">$B73</f>
        <v>2000</v>
      </c>
      <c r="G73" s="16" t="n">
        <f aca="false">$B73</f>
        <v>2000</v>
      </c>
      <c r="H73" s="16" t="n">
        <f aca="false">$B73</f>
        <v>2000</v>
      </c>
      <c r="I73" s="16" t="n">
        <f aca="false">$B73</f>
        <v>2000</v>
      </c>
      <c r="J73" s="16" t="n">
        <f aca="false">$B73</f>
        <v>2000</v>
      </c>
      <c r="K73" s="16" t="n">
        <f aca="false">$B73</f>
        <v>2000</v>
      </c>
      <c r="L73" s="16" t="n">
        <f aca="false">$B73</f>
        <v>2000</v>
      </c>
    </row>
    <row r="74" customFormat="false" ht="15" hidden="false" customHeight="false" outlineLevel="0" collapsed="false">
      <c r="A74" s="6" t="s">
        <v>430</v>
      </c>
      <c r="B74" s="43" t="n">
        <f aca="false">Assumptions!$D$25</f>
        <v>0.1</v>
      </c>
      <c r="C74" s="23" t="n">
        <f aca="false">$B74</f>
        <v>0.1</v>
      </c>
      <c r="D74" s="23" t="n">
        <f aca="false">$B74</f>
        <v>0.1</v>
      </c>
      <c r="E74" s="44" t="n">
        <f aca="false">$B74*(1+$B$4)</f>
        <v>0.07</v>
      </c>
      <c r="F74" s="44" t="n">
        <f aca="false">$B74*(1+$C$4)</f>
        <v>0.13</v>
      </c>
      <c r="G74" s="23" t="n">
        <f aca="false">$B74</f>
        <v>0.1</v>
      </c>
      <c r="H74" s="23" t="n">
        <f aca="false">$B74</f>
        <v>0.1</v>
      </c>
      <c r="I74" s="23" t="n">
        <f aca="false">$B74</f>
        <v>0.1</v>
      </c>
      <c r="J74" s="23" t="n">
        <f aca="false">$B74</f>
        <v>0.1</v>
      </c>
      <c r="K74" s="23" t="n">
        <f aca="false">$B74</f>
        <v>0.1</v>
      </c>
      <c r="L74" s="23" t="n">
        <f aca="false">$B74</f>
        <v>0.1</v>
      </c>
    </row>
    <row r="75" customFormat="false" ht="15" hidden="false" customHeight="false" outlineLevel="0" collapsed="false">
      <c r="A75" s="6" t="s">
        <v>464</v>
      </c>
      <c r="B75" s="30" t="n">
        <f aca="false">Assumptions!$D$39</f>
        <v>100000</v>
      </c>
      <c r="C75" s="16" t="n">
        <f aca="false">$B75</f>
        <v>100000</v>
      </c>
      <c r="D75" s="16" t="n">
        <f aca="false">$B75</f>
        <v>100000</v>
      </c>
      <c r="E75" s="16" t="n">
        <f aca="false">$B75</f>
        <v>100000</v>
      </c>
      <c r="F75" s="16" t="n">
        <f aca="false">$B75</f>
        <v>100000</v>
      </c>
      <c r="G75" s="16" t="n">
        <f aca="false">$B75</f>
        <v>100000</v>
      </c>
      <c r="H75" s="16" t="n">
        <f aca="false">$B75</f>
        <v>100000</v>
      </c>
      <c r="I75" s="16" t="n">
        <f aca="false">$B75</f>
        <v>100000</v>
      </c>
      <c r="J75" s="16" t="n">
        <f aca="false">$B75</f>
        <v>100000</v>
      </c>
      <c r="K75" s="16" t="n">
        <f aca="false">$B75</f>
        <v>100000</v>
      </c>
      <c r="L75" s="16" t="n">
        <f aca="false">$B75</f>
        <v>100000</v>
      </c>
    </row>
    <row r="76" customFormat="false" ht="15" hidden="false" customHeight="false" outlineLevel="0" collapsed="false">
      <c r="A76" s="6" t="s">
        <v>465</v>
      </c>
      <c r="B76" s="32" t="n">
        <f aca="false">Assumptions!$D$40</f>
        <v>10</v>
      </c>
      <c r="C76" s="14" t="n">
        <f aca="false">$B76</f>
        <v>10</v>
      </c>
      <c r="D76" s="14" t="n">
        <f aca="false">$B76</f>
        <v>10</v>
      </c>
      <c r="E76" s="14" t="n">
        <f aca="false">$B76</f>
        <v>10</v>
      </c>
      <c r="F76" s="14" t="n">
        <f aca="false">$B76</f>
        <v>10</v>
      </c>
      <c r="G76" s="14" t="n">
        <f aca="false">$B76</f>
        <v>10</v>
      </c>
      <c r="H76" s="14" t="n">
        <f aca="false">$B76</f>
        <v>10</v>
      </c>
      <c r="I76" s="14" t="n">
        <f aca="false">$B76</f>
        <v>10</v>
      </c>
      <c r="J76" s="14" t="n">
        <f aca="false">$B76</f>
        <v>10</v>
      </c>
      <c r="K76" s="14" t="n">
        <f aca="false">$B76</f>
        <v>10</v>
      </c>
      <c r="L76" s="14" t="n">
        <f aca="false">$B76</f>
        <v>10</v>
      </c>
    </row>
    <row r="77" customFormat="false" ht="15" hidden="false" customHeight="false" outlineLevel="0" collapsed="false">
      <c r="A77" s="6" t="s">
        <v>466</v>
      </c>
      <c r="B77" s="32" t="n">
        <f aca="false">Assumptions!$D$28</f>
        <v>24</v>
      </c>
      <c r="C77" s="14" t="n">
        <f aca="false">$B77</f>
        <v>24</v>
      </c>
      <c r="D77" s="14" t="n">
        <f aca="false">$B77</f>
        <v>24</v>
      </c>
      <c r="E77" s="14" t="n">
        <f aca="false">$B77</f>
        <v>24</v>
      </c>
      <c r="F77" s="14" t="n">
        <f aca="false">$B77</f>
        <v>24</v>
      </c>
      <c r="G77" s="14" t="n">
        <f aca="false">$B77</f>
        <v>24</v>
      </c>
      <c r="H77" s="14" t="n">
        <f aca="false">$B77</f>
        <v>24</v>
      </c>
      <c r="I77" s="14" t="n">
        <f aca="false">$B77</f>
        <v>24</v>
      </c>
      <c r="J77" s="14" t="n">
        <f aca="false">$B77</f>
        <v>24</v>
      </c>
      <c r="K77" s="14" t="n">
        <f aca="false">$B77</f>
        <v>24</v>
      </c>
      <c r="L77" s="14" t="n">
        <f aca="false">$B77</f>
        <v>24</v>
      </c>
    </row>
    <row r="78" customFormat="false" ht="15" hidden="false" customHeight="false" outlineLevel="0" collapsed="false">
      <c r="A78" s="6" t="s">
        <v>467</v>
      </c>
      <c r="B78" s="43" t="n">
        <f aca="false">Assumptions!$D$27</f>
        <v>0.15</v>
      </c>
      <c r="C78" s="23" t="n">
        <f aca="false">$B78</f>
        <v>0.15</v>
      </c>
      <c r="D78" s="23" t="n">
        <f aca="false">$B78</f>
        <v>0.15</v>
      </c>
      <c r="E78" s="23" t="n">
        <f aca="false">$B78</f>
        <v>0.15</v>
      </c>
      <c r="F78" s="23" t="n">
        <f aca="false">$B78</f>
        <v>0.15</v>
      </c>
      <c r="G78" s="23" t="n">
        <f aca="false">$B78</f>
        <v>0.15</v>
      </c>
      <c r="H78" s="23" t="n">
        <f aca="false">$B78</f>
        <v>0.15</v>
      </c>
      <c r="I78" s="44" t="n">
        <f aca="false">$B78*(1+$B$4)</f>
        <v>0.105</v>
      </c>
      <c r="J78" s="44" t="n">
        <f aca="false">$B78*(1+$C$4)</f>
        <v>0.195</v>
      </c>
      <c r="K78" s="23" t="n">
        <f aca="false">$B78</f>
        <v>0.15</v>
      </c>
      <c r="L78" s="23" t="n">
        <f aca="false">$B78</f>
        <v>0.15</v>
      </c>
    </row>
    <row r="79" customFormat="false" ht="15" hidden="false" customHeight="false" outlineLevel="0" collapsed="false">
      <c r="A79" s="6" t="s">
        <v>468</v>
      </c>
      <c r="B79" s="32" t="n">
        <f aca="false">Assumptions!$D$35</f>
        <v>1</v>
      </c>
      <c r="C79" s="14" t="n">
        <f aca="false">$B79</f>
        <v>1</v>
      </c>
      <c r="D79" s="14" t="n">
        <f aca="false">$B79</f>
        <v>1</v>
      </c>
      <c r="E79" s="14" t="n">
        <f aca="false">$B79</f>
        <v>1</v>
      </c>
      <c r="F79" s="14" t="n">
        <f aca="false">$B79</f>
        <v>1</v>
      </c>
      <c r="G79" s="14" t="n">
        <f aca="false">$B79</f>
        <v>1</v>
      </c>
      <c r="H79" s="14" t="n">
        <f aca="false">$B79</f>
        <v>1</v>
      </c>
      <c r="I79" s="14" t="n">
        <f aca="false">$B79</f>
        <v>1</v>
      </c>
      <c r="J79" s="14" t="n">
        <f aca="false">$B79</f>
        <v>1</v>
      </c>
      <c r="K79" s="14" t="n">
        <f aca="false">$B79</f>
        <v>1</v>
      </c>
      <c r="L79" s="14" t="n">
        <f aca="false">$B79</f>
        <v>1</v>
      </c>
    </row>
    <row r="80" customFormat="false" ht="15" hidden="false" customHeight="false" outlineLevel="0" collapsed="false">
      <c r="A80" s="6" t="s">
        <v>469</v>
      </c>
      <c r="B80" s="30" t="n">
        <f aca="false">Assumptions!$D$10</f>
        <v>150000</v>
      </c>
      <c r="C80" s="16" t="n">
        <f aca="false">$B80</f>
        <v>150000</v>
      </c>
      <c r="D80" s="16" t="n">
        <f aca="false">$B80</f>
        <v>150000</v>
      </c>
      <c r="E80" s="16" t="n">
        <f aca="false">$B80</f>
        <v>150000</v>
      </c>
      <c r="F80" s="16" t="n">
        <f aca="false">$B80</f>
        <v>150000</v>
      </c>
      <c r="G80" s="16" t="n">
        <f aca="false">$B80</f>
        <v>150000</v>
      </c>
      <c r="H80" s="16" t="n">
        <f aca="false">$B80</f>
        <v>150000</v>
      </c>
      <c r="I80" s="16" t="n">
        <f aca="false">$B80</f>
        <v>150000</v>
      </c>
      <c r="J80" s="16" t="n">
        <f aca="false">$B80</f>
        <v>150000</v>
      </c>
      <c r="K80" s="16" t="n">
        <f aca="false">$B80</f>
        <v>150000</v>
      </c>
      <c r="L80" s="16" t="n">
        <f aca="false">$B80</f>
        <v>150000</v>
      </c>
    </row>
    <row r="81" customFormat="false" ht="15" hidden="false" customHeight="false" outlineLevel="0" collapsed="false">
      <c r="A81" s="6" t="s">
        <v>470</v>
      </c>
      <c r="B81" s="30" t="n">
        <f aca="false">Assumptions!$D$11</f>
        <v>300000</v>
      </c>
      <c r="C81" s="16" t="n">
        <f aca="false">$B81</f>
        <v>300000</v>
      </c>
      <c r="D81" s="16" t="n">
        <f aca="false">$B81</f>
        <v>300000</v>
      </c>
      <c r="E81" s="16" t="n">
        <f aca="false">$B81</f>
        <v>300000</v>
      </c>
      <c r="F81" s="16" t="n">
        <f aca="false">$B81</f>
        <v>300000</v>
      </c>
      <c r="G81" s="16" t="n">
        <f aca="false">$B81</f>
        <v>300000</v>
      </c>
      <c r="H81" s="16" t="n">
        <f aca="false">$B81</f>
        <v>300000</v>
      </c>
      <c r="I81" s="16" t="n">
        <f aca="false">$B81</f>
        <v>300000</v>
      </c>
      <c r="J81" s="16" t="n">
        <f aca="false">$B81</f>
        <v>300000</v>
      </c>
      <c r="K81" s="16" t="n">
        <f aca="false">$B81</f>
        <v>300000</v>
      </c>
      <c r="L81" s="16" t="n">
        <f aca="false">$B81</f>
        <v>300000</v>
      </c>
    </row>
    <row r="82" customFormat="false" ht="15" hidden="false" customHeight="false" outlineLevel="0" collapsed="false">
      <c r="A82" s="6" t="s">
        <v>471</v>
      </c>
      <c r="B82" s="30" t="n">
        <f aca="false">Assumptions!$D$30</f>
        <v>236000</v>
      </c>
      <c r="C82" s="16" t="n">
        <f aca="false">$B82</f>
        <v>236000</v>
      </c>
      <c r="D82" s="16" t="n">
        <f aca="false">$B82</f>
        <v>236000</v>
      </c>
      <c r="E82" s="16" t="n">
        <f aca="false">$B82</f>
        <v>236000</v>
      </c>
      <c r="F82" s="16" t="n">
        <f aca="false">$B82</f>
        <v>236000</v>
      </c>
      <c r="G82" s="16" t="n">
        <f aca="false">$B82</f>
        <v>236000</v>
      </c>
      <c r="H82" s="16" t="n">
        <f aca="false">$B82</f>
        <v>236000</v>
      </c>
      <c r="I82" s="16" t="n">
        <f aca="false">$B82</f>
        <v>236000</v>
      </c>
      <c r="J82" s="16" t="n">
        <f aca="false">$B82</f>
        <v>236000</v>
      </c>
      <c r="K82" s="16" t="n">
        <f aca="false">$B82</f>
        <v>236000</v>
      </c>
      <c r="L82" s="16" t="n">
        <f aca="false">$B82</f>
        <v>236000</v>
      </c>
    </row>
    <row r="83" customFormat="false" ht="15" hidden="false" customHeight="false" outlineLevel="0" collapsed="false">
      <c r="A83" s="6" t="s">
        <v>472</v>
      </c>
      <c r="B83" s="46" t="n">
        <f aca="false">Assumptions!$D$12</f>
        <v>25</v>
      </c>
      <c r="C83" s="19" t="n">
        <f aca="false">$B83</f>
        <v>25</v>
      </c>
      <c r="D83" s="19" t="n">
        <f aca="false">$B83</f>
        <v>25</v>
      </c>
      <c r="E83" s="19" t="n">
        <f aca="false">$B83</f>
        <v>25</v>
      </c>
      <c r="F83" s="19" t="n">
        <f aca="false">$B83</f>
        <v>25</v>
      </c>
      <c r="G83" s="19" t="n">
        <f aca="false">$B83</f>
        <v>25</v>
      </c>
      <c r="H83" s="19" t="n">
        <f aca="false">$B83</f>
        <v>25</v>
      </c>
      <c r="I83" s="19" t="n">
        <f aca="false">$B83</f>
        <v>25</v>
      </c>
      <c r="J83" s="19" t="n">
        <f aca="false">$B83</f>
        <v>25</v>
      </c>
      <c r="K83" s="19" t="n">
        <f aca="false">$B83</f>
        <v>25</v>
      </c>
      <c r="L83" s="19" t="n">
        <f aca="false">$B83</f>
        <v>25</v>
      </c>
    </row>
    <row r="84" customFormat="false" ht="15" hidden="false" customHeight="false" outlineLevel="0" collapsed="false">
      <c r="A84" s="6" t="s">
        <v>473</v>
      </c>
      <c r="B84" s="33" t="n">
        <f aca="false">Assumptions!$C$4</f>
        <v>87</v>
      </c>
      <c r="C84" s="27" t="n">
        <f aca="false">$B84</f>
        <v>87</v>
      </c>
      <c r="D84" s="27" t="n">
        <f aca="false">$B84</f>
        <v>87</v>
      </c>
      <c r="E84" s="27" t="n">
        <f aca="false">$B84</f>
        <v>87</v>
      </c>
      <c r="F84" s="27" t="n">
        <f aca="false">$B84</f>
        <v>87</v>
      </c>
      <c r="G84" s="27" t="n">
        <f aca="false">$B84</f>
        <v>87</v>
      </c>
      <c r="H84" s="27" t="n">
        <f aca="false">$B84</f>
        <v>87</v>
      </c>
      <c r="I84" s="27" t="n">
        <f aca="false">$B84</f>
        <v>87</v>
      </c>
      <c r="J84" s="27" t="n">
        <f aca="false">$B84</f>
        <v>87</v>
      </c>
      <c r="K84" s="27" t="n">
        <f aca="false">$B84</f>
        <v>87</v>
      </c>
      <c r="L84" s="27" t="n">
        <f aca="false">$B84</f>
        <v>87</v>
      </c>
    </row>
    <row r="85" customFormat="false" ht="15" hidden="false" customHeight="false" outlineLevel="0" collapsed="false">
      <c r="A85" s="6" t="s">
        <v>474</v>
      </c>
      <c r="B85" s="30" t="n">
        <f aca="false">'Path to first revenue'!$B$6</f>
        <v>50000</v>
      </c>
      <c r="C85" s="16" t="n">
        <f aca="false">$B85</f>
        <v>50000</v>
      </c>
      <c r="D85" s="16" t="n">
        <f aca="false">$B85</f>
        <v>50000</v>
      </c>
      <c r="E85" s="16" t="n">
        <f aca="false">$B85</f>
        <v>50000</v>
      </c>
      <c r="F85" s="16" t="n">
        <f aca="false">$B85</f>
        <v>50000</v>
      </c>
      <c r="G85" s="16" t="n">
        <f aca="false">$B85</f>
        <v>50000</v>
      </c>
      <c r="H85" s="16" t="n">
        <f aca="false">$B85</f>
        <v>50000</v>
      </c>
      <c r="I85" s="16" t="n">
        <f aca="false">$B85</f>
        <v>50000</v>
      </c>
      <c r="J85" s="16" t="n">
        <f aca="false">$B85</f>
        <v>50000</v>
      </c>
      <c r="K85" s="16" t="n">
        <f aca="false">$B85</f>
        <v>50000</v>
      </c>
      <c r="L85" s="16" t="n">
        <f aca="false">$B85</f>
        <v>50000</v>
      </c>
    </row>
    <row r="87" customFormat="false" ht="15" hidden="false" customHeight="false" outlineLevel="0" collapsed="false">
      <c r="A87" s="4" t="s">
        <v>475</v>
      </c>
      <c r="B87" s="37" t="n">
        <f aca="false">B61*B62+B63*B62*B64*B65*B67</f>
        <v>562500</v>
      </c>
      <c r="C87" s="37" t="n">
        <f aca="false">C61*C62+C63*C62*C64*C65*C67</f>
        <v>427500</v>
      </c>
      <c r="D87" s="37" t="n">
        <f aca="false">D61*D62+D63*D62*D64*D65*D67</f>
        <v>697500</v>
      </c>
      <c r="E87" s="37" t="n">
        <f aca="false">E61*E62+E63*E62*E64*E65*E67</f>
        <v>562500</v>
      </c>
      <c r="F87" s="37" t="n">
        <f aca="false">F61*F62+F63*F62*F64*F65*F67</f>
        <v>562500</v>
      </c>
      <c r="G87" s="37" t="n">
        <f aca="false">G61*G62+G63*G62*G64*G65*G67</f>
        <v>528750</v>
      </c>
      <c r="H87" s="37" t="n">
        <f aca="false">H61*H62+H63*H62*H64*H65*H67</f>
        <v>596250</v>
      </c>
      <c r="I87" s="37" t="n">
        <f aca="false">I61*I62+I63*I62*I64*I65*I67</f>
        <v>562500</v>
      </c>
      <c r="J87" s="37" t="n">
        <f aca="false">J61*J62+J63*J62*J64*J65*J67</f>
        <v>562500</v>
      </c>
      <c r="K87" s="37" t="n">
        <f aca="false">K61*K62+K63*K62*K64*K65*K67</f>
        <v>562500</v>
      </c>
      <c r="L87" s="37" t="n">
        <f aca="false">L61*L62+L63*L62*L64*L65*L67</f>
        <v>562500</v>
      </c>
    </row>
    <row r="88" customFormat="false" ht="15" hidden="false" customHeight="false" outlineLevel="0" collapsed="false">
      <c r="A88" s="4" t="s">
        <v>476</v>
      </c>
      <c r="B88" s="37" t="n">
        <f aca="false">B63*B62*B64*B65*B66/12</f>
        <v>675000</v>
      </c>
      <c r="C88" s="37" t="n">
        <f aca="false">C63*C62*C64*C65*C66/12</f>
        <v>675000</v>
      </c>
      <c r="D88" s="37" t="n">
        <f aca="false">D63*D62*D64*D65*D66/12</f>
        <v>675000</v>
      </c>
      <c r="E88" s="37" t="n">
        <f aca="false">E63*E62*E64*E65*E66/12</f>
        <v>675000</v>
      </c>
      <c r="F88" s="37" t="n">
        <f aca="false">F63*F62*F64*F65*F66/12</f>
        <v>675000</v>
      </c>
      <c r="G88" s="37" t="n">
        <f aca="false">G63*G62*G64*G65*G66/12</f>
        <v>472500</v>
      </c>
      <c r="H88" s="37" t="n">
        <f aca="false">H63*H62*H64*H65*H66/12</f>
        <v>877500</v>
      </c>
      <c r="I88" s="37" t="n">
        <f aca="false">I63*I62*I64*I65*I66/12</f>
        <v>675000</v>
      </c>
      <c r="J88" s="37" t="n">
        <f aca="false">J63*J62*J64*J65*J66/12</f>
        <v>675000</v>
      </c>
      <c r="K88" s="37" t="n">
        <f aca="false">K63*K62*K64*K65*K66/12</f>
        <v>675000</v>
      </c>
      <c r="L88" s="37" t="n">
        <f aca="false">L63*L62*L64*L65*L66/12</f>
        <v>675000</v>
      </c>
    </row>
    <row r="89" customFormat="false" ht="15" hidden="false" customHeight="false" outlineLevel="0" collapsed="false">
      <c r="A89" s="4" t="s">
        <v>477</v>
      </c>
      <c r="B89" s="37" t="n">
        <f aca="false">B68+B69*12+B70*12*B71</f>
        <v>13200</v>
      </c>
      <c r="C89" s="37" t="n">
        <f aca="false">C68+C69*12+C70*12*C71</f>
        <v>13200</v>
      </c>
      <c r="D89" s="37" t="n">
        <f aca="false">D68+D69*12+D70*12*D71</f>
        <v>13200</v>
      </c>
      <c r="E89" s="37" t="n">
        <f aca="false">E68+E69*12+E70*12*E71</f>
        <v>13200</v>
      </c>
      <c r="F89" s="37" t="n">
        <f aca="false">F68+F69*12+F70*12*F71</f>
        <v>13200</v>
      </c>
      <c r="G89" s="37" t="n">
        <f aca="false">G68+G69*12+G70*12*G71</f>
        <v>13200</v>
      </c>
      <c r="H89" s="37" t="n">
        <f aca="false">H68+H69*12+H70*12*H71</f>
        <v>13200</v>
      </c>
      <c r="I89" s="37" t="n">
        <f aca="false">I68+I69*12+I70*12*I71</f>
        <v>13200</v>
      </c>
      <c r="J89" s="37" t="n">
        <f aca="false">J68+J69*12+J70*12*J71</f>
        <v>13200</v>
      </c>
      <c r="K89" s="37" t="n">
        <f aca="false">K68+K69*12+K70*12*K71</f>
        <v>13200</v>
      </c>
      <c r="L89" s="37" t="n">
        <f aca="false">L68+L69*12+L70*12*L71</f>
        <v>13200</v>
      </c>
    </row>
    <row r="90" customFormat="false" ht="15" hidden="false" customHeight="false" outlineLevel="0" collapsed="false">
      <c r="A90" s="4" t="s">
        <v>478</v>
      </c>
      <c r="B90" s="37" t="n">
        <f aca="false">B87-B89</f>
        <v>549300</v>
      </c>
      <c r="C90" s="37" t="n">
        <f aca="false">C87-C89</f>
        <v>414300</v>
      </c>
      <c r="D90" s="37" t="n">
        <f aca="false">D87-D89</f>
        <v>684300</v>
      </c>
      <c r="E90" s="37" t="n">
        <f aca="false">E87-E89</f>
        <v>549300</v>
      </c>
      <c r="F90" s="37" t="n">
        <f aca="false">F87-F89</f>
        <v>549300</v>
      </c>
      <c r="G90" s="37" t="n">
        <f aca="false">G87-G89</f>
        <v>515550</v>
      </c>
      <c r="H90" s="37" t="n">
        <f aca="false">H87-H89</f>
        <v>583050</v>
      </c>
      <c r="I90" s="37" t="n">
        <f aca="false">I87-I89</f>
        <v>549300</v>
      </c>
      <c r="J90" s="37" t="n">
        <f aca="false">J87-J89</f>
        <v>549300</v>
      </c>
      <c r="K90" s="37" t="n">
        <f aca="false">K87-K89</f>
        <v>549300</v>
      </c>
      <c r="L90" s="37" t="n">
        <f aca="false">L87-L89</f>
        <v>549300</v>
      </c>
    </row>
    <row r="91" customFormat="false" ht="15" hidden="false" customHeight="false" outlineLevel="0" collapsed="false">
      <c r="A91" s="4" t="s">
        <v>479</v>
      </c>
      <c r="B91" s="37" t="n">
        <f aca="false">(B72*B71+B73)/B74+B75/B76</f>
        <v>54000</v>
      </c>
      <c r="C91" s="37" t="n">
        <f aca="false">(C72*C71+C73)/C74+C75/C76</f>
        <v>54000</v>
      </c>
      <c r="D91" s="37" t="n">
        <f aca="false">(D72*D71+D73)/D74+D75/D76</f>
        <v>54000</v>
      </c>
      <c r="E91" s="37" t="n">
        <f aca="false">(E72*E71+E73)/E74+E75/E76</f>
        <v>72857.1428571429</v>
      </c>
      <c r="F91" s="37" t="n">
        <f aca="false">(F72*F71+F73)/F74+F75/F76</f>
        <v>43846.1538461538</v>
      </c>
      <c r="G91" s="37" t="n">
        <f aca="false">(G72*G71+G73)/G74+G75/G76</f>
        <v>54000</v>
      </c>
      <c r="H91" s="37" t="n">
        <f aca="false">(H72*H71+H73)/H74+H75/H76</f>
        <v>54000</v>
      </c>
      <c r="I91" s="37" t="n">
        <f aca="false">(I72*I71+I73)/I74+I75/I76</f>
        <v>54000</v>
      </c>
      <c r="J91" s="37" t="n">
        <f aca="false">(J72*J71+J73)/J74+J75/J76</f>
        <v>54000</v>
      </c>
      <c r="K91" s="37" t="n">
        <f aca="false">(K72*K71+K73)/K74+K75/K76</f>
        <v>46800</v>
      </c>
      <c r="L91" s="37" t="n">
        <f aca="false">(L72*L71+L73)/L74+L75/L76</f>
        <v>61200</v>
      </c>
    </row>
    <row r="92" customFormat="false" ht="15" hidden="false" customHeight="false" outlineLevel="0" collapsed="false">
      <c r="A92" s="4" t="s">
        <v>480</v>
      </c>
      <c r="B92" s="37" t="n">
        <f aca="false">B91+B77*B71</f>
        <v>63600</v>
      </c>
      <c r="C92" s="37" t="n">
        <f aca="false">C91+C77*C71</f>
        <v>63600</v>
      </c>
      <c r="D92" s="37" t="n">
        <f aca="false">D91+D77*D71</f>
        <v>63600</v>
      </c>
      <c r="E92" s="37" t="n">
        <f aca="false">E91+E77*E71</f>
        <v>82457.1428571429</v>
      </c>
      <c r="F92" s="37" t="n">
        <f aca="false">F91+F77*F71</f>
        <v>53446.1538461538</v>
      </c>
      <c r="G92" s="37" t="n">
        <f aca="false">G91+G77*G71</f>
        <v>63600</v>
      </c>
      <c r="H92" s="37" t="n">
        <f aca="false">H91+H77*H71</f>
        <v>63600</v>
      </c>
      <c r="I92" s="37" t="n">
        <f aca="false">I91+I77*I71</f>
        <v>63600</v>
      </c>
      <c r="J92" s="37" t="n">
        <f aca="false">J91+J77*J71</f>
        <v>63600</v>
      </c>
      <c r="K92" s="37" t="n">
        <f aca="false">K91+K77*K71</f>
        <v>56400</v>
      </c>
      <c r="L92" s="37" t="n">
        <f aca="false">L91+L77*L71</f>
        <v>70800</v>
      </c>
    </row>
    <row r="93" customFormat="false" ht="15" hidden="false" customHeight="false" outlineLevel="0" collapsed="false">
      <c r="A93" s="4" t="s">
        <v>481</v>
      </c>
      <c r="B93" s="36" t="n">
        <f aca="false">IF(B90&lt;=0,999,B92/(B90/12))</f>
        <v>1.38940469688695</v>
      </c>
      <c r="C93" s="36" t="n">
        <f aca="false">IF(C90&lt;=0,999,C92/(C90/12))</f>
        <v>1.8421433743664</v>
      </c>
      <c r="D93" s="36" t="n">
        <f aca="false">IF(D90&lt;=0,999,D92/(D90/12))</f>
        <v>1.11530030688295</v>
      </c>
      <c r="E93" s="36" t="n">
        <f aca="false">IF(E90&lt;=0,999,E92/(E90/12))</f>
        <v>1.80135757197472</v>
      </c>
      <c r="F93" s="36" t="n">
        <f aca="false">IF(F90&lt;=0,999,F92/(F90/12))</f>
        <v>1.16758391799353</v>
      </c>
      <c r="G93" s="36" t="n">
        <f aca="false">IF(G90&lt;=0,999,G92/(G90/12))</f>
        <v>1.48036077974978</v>
      </c>
      <c r="H93" s="36" t="n">
        <f aca="false">IF(H90&lt;=0,999,H92/(H90/12))</f>
        <v>1.30897864677129</v>
      </c>
      <c r="I93" s="36" t="n">
        <f aca="false">IF(I90&lt;=0,999,I92/(I90/12))</f>
        <v>1.38940469688695</v>
      </c>
      <c r="J93" s="36" t="n">
        <f aca="false">IF(J90&lt;=0,999,J92/(J90/12))</f>
        <v>1.38940469688695</v>
      </c>
      <c r="K93" s="36" t="n">
        <f aca="false">IF(K90&lt;=0,999,K92/(K90/12))</f>
        <v>1.23211359912616</v>
      </c>
      <c r="L93" s="36" t="n">
        <f aca="false">IF(L90&lt;=0,999,L92/(L90/12))</f>
        <v>1.54669579464773</v>
      </c>
    </row>
    <row r="94" customFormat="false" ht="15" hidden="false" customHeight="false" outlineLevel="0" collapsed="false">
      <c r="A94" s="4" t="s">
        <v>274</v>
      </c>
      <c r="B94" s="38" t="n">
        <f aca="false">IF(B92=0,0,(B88+B90/B78)/B92)</f>
        <v>68.1918238993711</v>
      </c>
      <c r="C94" s="38" t="n">
        <f aca="false">IF(C92=0,0,(C88+C90/C78)/C92)</f>
        <v>54.0408805031447</v>
      </c>
      <c r="D94" s="38" t="n">
        <f aca="false">IF(D92=0,0,(D88+D90/D78)/D92)</f>
        <v>82.3427672955975</v>
      </c>
      <c r="E94" s="38" t="n">
        <f aca="false">IF(E92=0,0,(E88+E90/E78)/E92)</f>
        <v>52.5970200970201</v>
      </c>
      <c r="F94" s="38" t="n">
        <f aca="false">IF(F92=0,0,(F88+F90/F78)/F92)</f>
        <v>81.1470926885435</v>
      </c>
      <c r="G94" s="38" t="n">
        <f aca="false">IF(G92=0,0,(G88+G90/G78)/G92)</f>
        <v>61.4701257861635</v>
      </c>
      <c r="H94" s="38" t="n">
        <f aca="false">IF(H92=0,0,(H88+H90/H78)/H92)</f>
        <v>74.9135220125786</v>
      </c>
      <c r="I94" s="38" t="n">
        <f aca="false">IF(I92=0,0,(I88+I90/I78)/I92)</f>
        <v>92.8683737646002</v>
      </c>
      <c r="J94" s="38" t="n">
        <f aca="false">IF(J92=0,0,(J88+J90/J78)/J92)</f>
        <v>54.9044508950169</v>
      </c>
      <c r="K94" s="38" t="n">
        <f aca="false">IF(K92=0,0,(K88+K90/K78)/K92)</f>
        <v>76.8971631205674</v>
      </c>
      <c r="L94" s="38" t="n">
        <f aca="false">IF(L92=0,0,(L88+L90/L78)/L92)</f>
        <v>61.2570621468927</v>
      </c>
    </row>
    <row r="95" customFormat="false" ht="15" hidden="false" customHeight="false" outlineLevel="0" collapsed="false">
      <c r="A95" s="4" t="s">
        <v>482</v>
      </c>
      <c r="B95" s="37" t="n">
        <f aca="false">100*(B87-B89)+100*B78*B88-(B85*12+B79*B80*12+B81+B75+B82+B83*B84*12+100*B78*B92)</f>
        <v>61038900</v>
      </c>
      <c r="C95" s="37" t="n">
        <f aca="false">100*(C87-C89)+100*C78*C88-(C85*12+C79*C80*12+C81+C75+C82+C83*C84*12+100*C78*C92)</f>
        <v>47538900</v>
      </c>
      <c r="D95" s="37" t="n">
        <f aca="false">100*(D87-D89)+100*D78*D88-(D85*12+D79*D80*12+D81+D75+D82+D83*D84*12+100*D78*D92)</f>
        <v>74538900</v>
      </c>
      <c r="E95" s="37" t="n">
        <f aca="false">100*(E87-E89)+100*E78*E88-(E85*12+E79*E80*12+E81+E75+E82+E83*E84*12+100*E78*E92)</f>
        <v>60756042.8571429</v>
      </c>
      <c r="F95" s="37" t="n">
        <f aca="false">100*(F87-F89)+100*F78*F88-(F85*12+F79*F80*12+F81+F75+F82+F83*F84*12+100*F78*F92)</f>
        <v>61191207.6923077</v>
      </c>
      <c r="G95" s="37" t="n">
        <f aca="false">100*(G87-G89)+100*G78*G88-(G85*12+G79*G80*12+G81+G75+G82+G83*G84*12+100*G78*G92)</f>
        <v>54626400</v>
      </c>
      <c r="H95" s="37" t="n">
        <f aca="false">100*(H87-H89)+100*H78*H88-(H85*12+H79*H80*12+H81+H75+H82+H83*H84*12+100*H78*H92)</f>
        <v>67451400</v>
      </c>
      <c r="I95" s="37" t="n">
        <f aca="false">100*(I87-I89)+100*I78*I88-(I85*12+I79*I80*12+I81+I75+I82+I83*I84*12+100*I78*I92)</f>
        <v>58287600</v>
      </c>
      <c r="J95" s="37" t="n">
        <f aca="false">100*(J87-J89)+100*J78*J88-(J85*12+J79*J80*12+J81+J75+J82+J83*J84*12+100*J78*J92)</f>
        <v>63790200</v>
      </c>
      <c r="K95" s="37" t="n">
        <f aca="false">100*(K87-K89)+100*K78*K88-(K85*12+K79*K80*12+K81+K75+K82+K83*K84*12+100*K78*K92)</f>
        <v>61146900</v>
      </c>
      <c r="L95" s="37" t="n">
        <f aca="false">100*(L87-L89)+100*L78*L88-(L85*12+L79*L80*12+L81+L75+L82+L83*L84*12+100*L78*L92)</f>
        <v>60930900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5" min="3" style="0" width="15"/>
    <col collapsed="false" customWidth="true" hidden="false" outlineLevel="0" max="6" min="6" style="0" width="75"/>
  </cols>
  <sheetData>
    <row r="1" customFormat="false" ht="17.35" hidden="false" customHeight="false" outlineLevel="0" collapsed="false">
      <c r="A1" s="1" t="s">
        <v>483</v>
      </c>
    </row>
    <row r="2" customFormat="false" ht="15" hidden="false" customHeight="false" outlineLevel="0" collapsed="false">
      <c r="A2" s="29" t="str">
        <f aca="false">"Active scenario: "&amp;Assumptions!$D$3&amp;". Hours are formula-driven from the Assumptions sheet and the small input block in each section (blue)."</f>
        <v>Active scenario: Base. Hours are formula-driven from the Assumptions sheet and the small input block in each section (blue).</v>
      </c>
    </row>
    <row r="4" customFormat="false" ht="15" hidden="false" customHeight="false" outlineLevel="0" collapsed="false">
      <c r="A4" s="9" t="s">
        <v>484</v>
      </c>
      <c r="B4" s="9" t="s">
        <v>28</v>
      </c>
      <c r="C4" s="9" t="s">
        <v>485</v>
      </c>
      <c r="D4" s="9" t="s">
        <v>486</v>
      </c>
      <c r="E4" s="9" t="s">
        <v>487</v>
      </c>
      <c r="F4" s="9" t="s">
        <v>488</v>
      </c>
    </row>
    <row r="5" customFormat="false" ht="15" hidden="false" customHeight="false" outlineLevel="0" collapsed="false">
      <c r="A5" s="4" t="s">
        <v>383</v>
      </c>
      <c r="C5" s="13" t="n">
        <v>10</v>
      </c>
      <c r="D5" s="13" t="n">
        <v>100</v>
      </c>
      <c r="E5" s="13" t="n">
        <v>1000</v>
      </c>
    </row>
    <row r="7" customFormat="false" ht="15" hidden="false" customHeight="false" outlineLevel="0" collapsed="false">
      <c r="A7" s="10" t="s">
        <v>489</v>
      </c>
      <c r="B7" s="11"/>
      <c r="C7" s="11"/>
      <c r="D7" s="11"/>
      <c r="E7" s="11"/>
      <c r="F7" s="11"/>
    </row>
    <row r="8" customFormat="false" ht="22.35" hidden="false" customHeight="false" outlineLevel="0" collapsed="false">
      <c r="A8" s="6" t="s">
        <v>490</v>
      </c>
      <c r="B8" s="12" t="s">
        <v>491</v>
      </c>
      <c r="C8" s="26" t="n">
        <v>1.5</v>
      </c>
      <c r="D8" s="27" t="n">
        <f aca="false">$C8</f>
        <v>1.5</v>
      </c>
      <c r="E8" s="27" t="n">
        <f aca="false">$C8</f>
        <v>1.5</v>
      </c>
      <c r="F8" s="8" t="s">
        <v>492</v>
      </c>
    </row>
    <row r="9" customFormat="false" ht="22.35" hidden="false" customHeight="false" outlineLevel="0" collapsed="false">
      <c r="A9" s="6" t="s">
        <v>493</v>
      </c>
      <c r="B9" s="12" t="s">
        <v>39</v>
      </c>
      <c r="C9" s="26" t="n">
        <v>1</v>
      </c>
      <c r="D9" s="27" t="n">
        <f aca="false">$C9</f>
        <v>1</v>
      </c>
      <c r="E9" s="27" t="n">
        <f aca="false">$C9</f>
        <v>1</v>
      </c>
      <c r="F9" s="8" t="s">
        <v>494</v>
      </c>
    </row>
    <row r="10" customFormat="false" ht="15" hidden="false" customHeight="false" outlineLevel="0" collapsed="false">
      <c r="A10" s="6" t="s">
        <v>495</v>
      </c>
      <c r="B10" s="12" t="s">
        <v>496</v>
      </c>
      <c r="C10" s="13" t="n">
        <v>1</v>
      </c>
      <c r="D10" s="13" t="n">
        <v>3</v>
      </c>
      <c r="E10" s="13" t="n">
        <v>6</v>
      </c>
      <c r="F10" s="8" t="s">
        <v>497</v>
      </c>
    </row>
    <row r="11" customFormat="false" ht="15" hidden="false" customHeight="false" outlineLevel="0" collapsed="false">
      <c r="A11" s="6" t="s">
        <v>498</v>
      </c>
      <c r="B11" s="12" t="s">
        <v>39</v>
      </c>
      <c r="C11" s="13" t="n">
        <v>20</v>
      </c>
      <c r="D11" s="14" t="n">
        <f aca="false">$C11</f>
        <v>20</v>
      </c>
      <c r="E11" s="14" t="n">
        <f aca="false">$C11</f>
        <v>20</v>
      </c>
      <c r="F11" s="8" t="s">
        <v>499</v>
      </c>
    </row>
    <row r="12" customFormat="false" ht="15" hidden="false" customHeight="false" outlineLevel="0" collapsed="false">
      <c r="A12" s="6" t="s">
        <v>500</v>
      </c>
      <c r="B12" s="12" t="s">
        <v>99</v>
      </c>
      <c r="C12" s="24" t="n">
        <v>0.02</v>
      </c>
      <c r="D12" s="23" t="n">
        <f aca="false">$C12</f>
        <v>0.02</v>
      </c>
      <c r="E12" s="23" t="n">
        <f aca="false">$C12</f>
        <v>0.02</v>
      </c>
      <c r="F12" s="8" t="s">
        <v>501</v>
      </c>
    </row>
    <row r="13" customFormat="false" ht="15" hidden="false" customHeight="false" outlineLevel="0" collapsed="false">
      <c r="A13" s="6" t="s">
        <v>502</v>
      </c>
      <c r="B13" s="12" t="s">
        <v>39</v>
      </c>
      <c r="C13" s="13" t="n">
        <v>80</v>
      </c>
      <c r="D13" s="14" t="n">
        <f aca="false">$C13</f>
        <v>80</v>
      </c>
      <c r="E13" s="14" t="n">
        <f aca="false">$C13</f>
        <v>80</v>
      </c>
      <c r="F13" s="8" t="s">
        <v>503</v>
      </c>
    </row>
    <row r="14" customFormat="false" ht="15" hidden="false" customHeight="false" outlineLevel="0" collapsed="false">
      <c r="A14" s="6" t="s">
        <v>504</v>
      </c>
      <c r="B14" s="12" t="s">
        <v>96</v>
      </c>
      <c r="C14" s="14" t="n">
        <f aca="false">C$5*Assumptions!$F$24</f>
        <v>15</v>
      </c>
      <c r="D14" s="14" t="n">
        <f aca="false">D$5*Assumptions!$F$24</f>
        <v>150</v>
      </c>
      <c r="E14" s="14" t="n">
        <f aca="false">E$5*Assumptions!$F$24</f>
        <v>1500</v>
      </c>
      <c r="F14" s="8"/>
    </row>
    <row r="15" customFormat="false" ht="15" hidden="false" customHeight="false" outlineLevel="0" collapsed="false">
      <c r="A15" s="6" t="s">
        <v>505</v>
      </c>
      <c r="B15" s="12" t="s">
        <v>491</v>
      </c>
      <c r="C15" s="14" t="n">
        <f aca="false">C14*$C$8</f>
        <v>22.5</v>
      </c>
      <c r="D15" s="14" t="n">
        <f aca="false">D14*$C$8</f>
        <v>225</v>
      </c>
      <c r="E15" s="14" t="n">
        <f aca="false">E14*$C$8</f>
        <v>2250</v>
      </c>
      <c r="F15" s="8"/>
    </row>
    <row r="16" customFormat="false" ht="22.35" hidden="false" customHeight="false" outlineLevel="0" collapsed="false">
      <c r="A16" s="6" t="s">
        <v>506</v>
      </c>
      <c r="B16" s="12" t="s">
        <v>507</v>
      </c>
      <c r="C16" s="14" t="n">
        <f aca="false">C15*$C$9</f>
        <v>22.5</v>
      </c>
      <c r="D16" s="14" t="n">
        <f aca="false">D15*$C$9</f>
        <v>225</v>
      </c>
      <c r="E16" s="14" t="n">
        <f aca="false">E15*$C$9</f>
        <v>2250</v>
      </c>
      <c r="F16" s="8" t="s">
        <v>508</v>
      </c>
    </row>
    <row r="17" customFormat="false" ht="15" hidden="false" customHeight="false" outlineLevel="0" collapsed="false">
      <c r="A17" s="6" t="s">
        <v>509</v>
      </c>
      <c r="B17" s="12" t="s">
        <v>507</v>
      </c>
      <c r="C17" s="14" t="n">
        <f aca="false">C$5*Assumptions!$F$29</f>
        <v>25</v>
      </c>
      <c r="D17" s="14" t="n">
        <f aca="false">D$5*Assumptions!$F$29</f>
        <v>250</v>
      </c>
      <c r="E17" s="14" t="n">
        <f aca="false">E$5*Assumptions!$F$29</f>
        <v>2500</v>
      </c>
      <c r="F17" s="8"/>
    </row>
    <row r="18" customFormat="false" ht="15" hidden="false" customHeight="false" outlineLevel="0" collapsed="false">
      <c r="A18" s="6" t="s">
        <v>510</v>
      </c>
      <c r="B18" s="12" t="s">
        <v>507</v>
      </c>
      <c r="C18" s="14" t="n">
        <f aca="false">C$5*Assumptions!$F$27/12*Assumptions!$F$28</f>
        <v>3</v>
      </c>
      <c r="D18" s="14" t="n">
        <f aca="false">D$5*Assumptions!$F$27/12*Assumptions!$F$28</f>
        <v>30</v>
      </c>
      <c r="E18" s="14" t="n">
        <f aca="false">E$5*Assumptions!$F$27/12*Assumptions!$F$28</f>
        <v>300</v>
      </c>
      <c r="F18" s="8"/>
    </row>
    <row r="19" customFormat="false" ht="15" hidden="false" customHeight="false" outlineLevel="0" collapsed="false">
      <c r="A19" s="6" t="s">
        <v>511</v>
      </c>
      <c r="B19" s="12" t="s">
        <v>507</v>
      </c>
      <c r="C19" s="14" t="n">
        <f aca="false">C10*$C$11</f>
        <v>20</v>
      </c>
      <c r="D19" s="14" t="n">
        <f aca="false">D10*$C$11</f>
        <v>60</v>
      </c>
      <c r="E19" s="14" t="n">
        <f aca="false">E10*$C$11</f>
        <v>120</v>
      </c>
      <c r="F19" s="8" t="s">
        <v>512</v>
      </c>
    </row>
    <row r="20" customFormat="false" ht="15" hidden="false" customHeight="false" outlineLevel="0" collapsed="false">
      <c r="A20" s="4" t="s">
        <v>513</v>
      </c>
      <c r="B20" s="12" t="s">
        <v>507</v>
      </c>
      <c r="C20" s="35" t="n">
        <f aca="false">SUM(C16:C19)</f>
        <v>70.5</v>
      </c>
      <c r="D20" s="35" t="n">
        <f aca="false">SUM(D16:D19)</f>
        <v>565</v>
      </c>
      <c r="E20" s="35" t="n">
        <f aca="false">SUM(E16:E19)</f>
        <v>5170</v>
      </c>
      <c r="F20" s="8"/>
    </row>
    <row r="21" customFormat="false" ht="15" hidden="false" customHeight="false" outlineLevel="0" collapsed="false">
      <c r="A21" s="6" t="s">
        <v>514</v>
      </c>
      <c r="B21" s="12" t="s">
        <v>123</v>
      </c>
      <c r="C21" s="27" t="n">
        <f aca="false">C20/Assumptions!$F$8</f>
        <v>0.440625</v>
      </c>
      <c r="D21" s="27" t="n">
        <f aca="false">D20/Assumptions!$F$8</f>
        <v>3.53125</v>
      </c>
      <c r="E21" s="27" t="n">
        <f aca="false">E20/Assumptions!$F$8</f>
        <v>32.3125</v>
      </c>
      <c r="F21" s="8"/>
    </row>
    <row r="22" customFormat="false" ht="15" hidden="false" customHeight="false" outlineLevel="0" collapsed="false">
      <c r="A22" s="4" t="s">
        <v>515</v>
      </c>
      <c r="B22" s="12"/>
      <c r="C22" s="4" t="str">
        <f aca="false">IF(C20&lt;=$C$13,"Founder can run","Needs "&amp;TEXT(C21,"0.0")&amp;" delivery FTE")</f>
        <v>Founder can run</v>
      </c>
      <c r="D22" s="4" t="str">
        <f aca="false">IF(D20&lt;=$C$13,"Founder can run","Needs "&amp;TEXT(D21,"0.0")&amp;" delivery FTE")</f>
        <v>Needs 3.5 delivery FTE</v>
      </c>
      <c r="E22" s="4" t="str">
        <f aca="false">IF(E20&lt;=$C$13,"Founder can run","Needs "&amp;TEXT(E21,"0.0")&amp;" delivery FTE")</f>
        <v>Needs 32.3 delivery FTE</v>
      </c>
      <c r="F22" s="8"/>
    </row>
    <row r="23" customFormat="false" ht="15" hidden="false" customHeight="false" outlineLevel="0" collapsed="false">
      <c r="A23" s="6" t="s">
        <v>516</v>
      </c>
      <c r="B23" s="12" t="s">
        <v>251</v>
      </c>
      <c r="C23" s="16" t="n">
        <f aca="false">C$5*Assumptions!$F$18*Assumptions!$F$24*Assumptions!$F$19</f>
        <v>22500000</v>
      </c>
      <c r="D23" s="16" t="n">
        <f aca="false">D$5*Assumptions!$F$18*Assumptions!$F$24*Assumptions!$F$19</f>
        <v>225000000</v>
      </c>
      <c r="E23" s="16" t="n">
        <f aca="false">E$5*Assumptions!$F$18*Assumptions!$F$24*Assumptions!$F$19</f>
        <v>2250000000</v>
      </c>
      <c r="F23" s="8" t="s">
        <v>517</v>
      </c>
    </row>
    <row r="24" customFormat="false" ht="22.35" hidden="false" customHeight="false" outlineLevel="0" collapsed="false">
      <c r="A24" s="6" t="s">
        <v>518</v>
      </c>
      <c r="B24" s="12" t="s">
        <v>251</v>
      </c>
      <c r="C24" s="16" t="n">
        <f aca="false">C23*$C$12</f>
        <v>450000</v>
      </c>
      <c r="D24" s="16" t="n">
        <f aca="false">D23*$C$12</f>
        <v>4500000</v>
      </c>
      <c r="E24" s="16" t="n">
        <f aca="false">E23*$C$12</f>
        <v>45000000</v>
      </c>
      <c r="F24" s="8" t="s">
        <v>519</v>
      </c>
    </row>
    <row r="25" customFormat="false" ht="22.35" hidden="false" customHeight="false" outlineLevel="0" collapsed="false">
      <c r="A25" s="4" t="s">
        <v>520</v>
      </c>
      <c r="B25" s="12"/>
      <c r="C25" s="4" t="str">
        <f aca="false">IF(C$5&gt;Assumptions!$F$15,"Exceeds reachable segment",TEXT(C$5/Assumptions!$F$15,"0%")&amp;" of segment")</f>
        <v>1% of segment</v>
      </c>
      <c r="D25" s="4" t="str">
        <f aca="false">IF(D$5&gt;Assumptions!$F$15,"Exceeds reachable segment",TEXT(D$5/Assumptions!$F$15,"0%")&amp;" of segment")</f>
        <v>7% of segment</v>
      </c>
      <c r="E25" s="4" t="str">
        <f aca="false">IF(E$5&gt;Assumptions!$F$15,"Exceeds reachable segment",TEXT(E$5/Assumptions!$F$15,"0%")&amp;" of segment")</f>
        <v>67% of segment</v>
      </c>
      <c r="F25" s="8" t="s">
        <v>521</v>
      </c>
    </row>
    <row r="27" customFormat="false" ht="15" hidden="false" customHeight="false" outlineLevel="0" collapsed="false">
      <c r="A27" s="10" t="s">
        <v>522</v>
      </c>
      <c r="B27" s="11"/>
      <c r="C27" s="11"/>
      <c r="D27" s="11"/>
      <c r="E27" s="11"/>
      <c r="F27" s="11"/>
    </row>
    <row r="28" customFormat="false" ht="22.35" hidden="false" customHeight="false" outlineLevel="0" collapsed="false">
      <c r="A28" s="6" t="s">
        <v>523</v>
      </c>
      <c r="B28" s="12" t="s">
        <v>524</v>
      </c>
      <c r="C28" s="13" t="n">
        <v>15</v>
      </c>
      <c r="D28" s="14" t="n">
        <f aca="false">$C28</f>
        <v>15</v>
      </c>
      <c r="E28" s="14" t="n">
        <f aca="false">$C28</f>
        <v>15</v>
      </c>
      <c r="F28" s="8" t="s">
        <v>525</v>
      </c>
    </row>
    <row r="29" customFormat="false" ht="15" hidden="false" customHeight="false" outlineLevel="0" collapsed="false">
      <c r="A29" s="6" t="s">
        <v>526</v>
      </c>
      <c r="B29" s="12" t="s">
        <v>39</v>
      </c>
      <c r="C29" s="26" t="n">
        <v>0.5</v>
      </c>
      <c r="D29" s="27" t="n">
        <f aca="false">$C29</f>
        <v>0.5</v>
      </c>
      <c r="E29" s="27" t="n">
        <f aca="false">$C29</f>
        <v>0.5</v>
      </c>
      <c r="F29" s="8" t="s">
        <v>527</v>
      </c>
    </row>
    <row r="30" customFormat="false" ht="15" hidden="false" customHeight="false" outlineLevel="0" collapsed="false">
      <c r="A30" s="6" t="s">
        <v>528</v>
      </c>
      <c r="B30" s="12" t="s">
        <v>39</v>
      </c>
      <c r="C30" s="13" t="n">
        <v>8</v>
      </c>
      <c r="D30" s="14" t="n">
        <f aca="false">$C30</f>
        <v>8</v>
      </c>
      <c r="E30" s="14" t="n">
        <f aca="false">$C30</f>
        <v>8</v>
      </c>
      <c r="F30" s="8" t="s">
        <v>529</v>
      </c>
    </row>
    <row r="31" customFormat="false" ht="15" hidden="false" customHeight="false" outlineLevel="0" collapsed="false">
      <c r="A31" s="6" t="s">
        <v>530</v>
      </c>
      <c r="B31" s="12" t="s">
        <v>531</v>
      </c>
      <c r="C31" s="15" t="n">
        <v>50000000</v>
      </c>
      <c r="D31" s="16" t="n">
        <f aca="false">$C31</f>
        <v>50000000</v>
      </c>
      <c r="E31" s="16" t="n">
        <f aca="false">$C31</f>
        <v>50000000</v>
      </c>
      <c r="F31" s="8" t="s">
        <v>532</v>
      </c>
    </row>
    <row r="32" customFormat="false" ht="15" hidden="false" customHeight="false" outlineLevel="0" collapsed="false">
      <c r="A32" s="6" t="s">
        <v>502</v>
      </c>
      <c r="B32" s="12" t="s">
        <v>39</v>
      </c>
      <c r="C32" s="13" t="n">
        <v>80</v>
      </c>
      <c r="D32" s="14" t="n">
        <f aca="false">$C32</f>
        <v>80</v>
      </c>
      <c r="E32" s="14" t="n">
        <f aca="false">$C32</f>
        <v>80</v>
      </c>
      <c r="F32" s="8"/>
    </row>
    <row r="33" customFormat="false" ht="15" hidden="false" customHeight="false" outlineLevel="0" collapsed="false">
      <c r="A33" s="6" t="s">
        <v>533</v>
      </c>
      <c r="B33" s="12" t="s">
        <v>507</v>
      </c>
      <c r="C33" s="14" t="n">
        <f aca="false">$C$28*$C$29</f>
        <v>7.5</v>
      </c>
      <c r="D33" s="14" t="n">
        <f aca="false">$C$28*$C$29</f>
        <v>7.5</v>
      </c>
      <c r="E33" s="14" t="n">
        <f aca="false">$C$28*$C$29</f>
        <v>7.5</v>
      </c>
      <c r="F33" s="8" t="s">
        <v>534</v>
      </c>
    </row>
    <row r="34" customFormat="false" ht="15" hidden="false" customHeight="false" outlineLevel="0" collapsed="false">
      <c r="A34" s="6" t="s">
        <v>535</v>
      </c>
      <c r="B34" s="12" t="s">
        <v>507</v>
      </c>
      <c r="C34" s="14" t="n">
        <f aca="false">C$5*Assumptions!$F$46*$C$30/12</f>
        <v>6.66666666666667</v>
      </c>
      <c r="D34" s="14" t="n">
        <f aca="false">D$5*Assumptions!$F$46*$C$30/12</f>
        <v>66.6666666666667</v>
      </c>
      <c r="E34" s="14" t="n">
        <f aca="false">E$5*Assumptions!$F$46*$C$30/12</f>
        <v>666.666666666667</v>
      </c>
      <c r="F34" s="8" t="s">
        <v>536</v>
      </c>
    </row>
    <row r="35" customFormat="false" ht="15" hidden="false" customHeight="false" outlineLevel="0" collapsed="false">
      <c r="A35" s="6" t="s">
        <v>537</v>
      </c>
      <c r="B35" s="12" t="s">
        <v>507</v>
      </c>
      <c r="C35" s="14" t="n">
        <f aca="false">C$5*Assumptions!$F$52</f>
        <v>20</v>
      </c>
      <c r="D35" s="14" t="n">
        <f aca="false">D$5*Assumptions!$F$52</f>
        <v>200</v>
      </c>
      <c r="E35" s="14" t="n">
        <f aca="false">E$5*Assumptions!$F$52</f>
        <v>2000</v>
      </c>
      <c r="F35" s="8"/>
    </row>
    <row r="36" customFormat="false" ht="15" hidden="false" customHeight="false" outlineLevel="0" collapsed="false">
      <c r="A36" s="6" t="s">
        <v>538</v>
      </c>
      <c r="B36" s="12" t="s">
        <v>507</v>
      </c>
      <c r="C36" s="14" t="n">
        <f aca="false">C$5*Assumptions!$F$50/12*Assumptions!$F$51</f>
        <v>1.33333333333333</v>
      </c>
      <c r="D36" s="14" t="n">
        <f aca="false">D$5*Assumptions!$F$50/12*Assumptions!$F$51</f>
        <v>13.3333333333333</v>
      </c>
      <c r="E36" s="14" t="n">
        <f aca="false">E$5*Assumptions!$F$50/12*Assumptions!$F$51</f>
        <v>133.333333333333</v>
      </c>
      <c r="F36" s="8"/>
    </row>
    <row r="37" customFormat="false" ht="15" hidden="false" customHeight="false" outlineLevel="0" collapsed="false">
      <c r="A37" s="4" t="s">
        <v>513</v>
      </c>
      <c r="B37" s="12" t="s">
        <v>507</v>
      </c>
      <c r="C37" s="35" t="n">
        <f aca="false">SUM(C33:C36)</f>
        <v>35.5</v>
      </c>
      <c r="D37" s="35" t="n">
        <f aca="false">SUM(D33:D36)</f>
        <v>287.5</v>
      </c>
      <c r="E37" s="35" t="n">
        <f aca="false">SUM(E33:E36)</f>
        <v>2807.5</v>
      </c>
      <c r="F37" s="8"/>
    </row>
    <row r="38" customFormat="false" ht="15" hidden="false" customHeight="false" outlineLevel="0" collapsed="false">
      <c r="A38" s="6" t="s">
        <v>539</v>
      </c>
      <c r="B38" s="12" t="s">
        <v>123</v>
      </c>
      <c r="C38" s="27" t="n">
        <f aca="false">C37/Assumptions!$F$8</f>
        <v>0.221875</v>
      </c>
      <c r="D38" s="27" t="n">
        <f aca="false">D37/Assumptions!$F$8</f>
        <v>1.796875</v>
      </c>
      <c r="E38" s="27" t="n">
        <f aca="false">E37/Assumptions!$F$8</f>
        <v>17.546875</v>
      </c>
      <c r="F38" s="8"/>
    </row>
    <row r="39" customFormat="false" ht="15" hidden="false" customHeight="false" outlineLevel="0" collapsed="false">
      <c r="A39" s="4" t="s">
        <v>515</v>
      </c>
      <c r="B39" s="12"/>
      <c r="C39" s="4" t="str">
        <f aca="false">IF(C37&lt;=$C$32,"Founder can run","Needs "&amp;TEXT(C38,"0.0")&amp;" delivery FTE")</f>
        <v>Founder can run</v>
      </c>
      <c r="D39" s="4" t="str">
        <f aca="false">IF(D37&lt;=$C$32,"Founder can run","Needs "&amp;TEXT(D38,"0.0")&amp;" delivery FTE")</f>
        <v>Needs 1.8 delivery FTE</v>
      </c>
      <c r="E39" s="4" t="str">
        <f aca="false">IF(E37&lt;=$C$32,"Founder can run","Needs "&amp;TEXT(E38,"0.0")&amp;" delivery FTE")</f>
        <v>Needs 17.5 delivery FTE</v>
      </c>
      <c r="F39" s="8"/>
    </row>
    <row r="40" customFormat="false" ht="22.35" hidden="false" customHeight="false" outlineLevel="0" collapsed="false">
      <c r="A40" s="6" t="s">
        <v>540</v>
      </c>
      <c r="B40" s="12" t="s">
        <v>531</v>
      </c>
      <c r="C40" s="16" t="n">
        <f aca="false">C$5*$C$31</f>
        <v>500000000</v>
      </c>
      <c r="D40" s="16" t="n">
        <f aca="false">D$5*$C$31</f>
        <v>5000000000</v>
      </c>
      <c r="E40" s="16" t="n">
        <f aca="false">E$5*$C$31</f>
        <v>50000000000</v>
      </c>
      <c r="F40" s="8" t="s">
        <v>541</v>
      </c>
    </row>
    <row r="41" customFormat="false" ht="15" hidden="false" customHeight="false" outlineLevel="0" collapsed="false">
      <c r="A41" s="4" t="s">
        <v>542</v>
      </c>
      <c r="B41" s="12"/>
      <c r="C41" s="4" t="str">
        <f aca="false">IF(Assumptions!$F$53=1,"CTUIL permission assumed","BLOCKED: CTUIL permission not obtained")</f>
        <v>CTUIL permission assumed</v>
      </c>
      <c r="D41" s="4" t="str">
        <f aca="false">IF(Assumptions!$F$53=1,"CTUIL permission assumed","BLOCKED: CTUIL permission not obtained")</f>
        <v>CTUIL permission assumed</v>
      </c>
      <c r="E41" s="4" t="str">
        <f aca="false">IF(Assumptions!$F$53=1,"CTUIL permission assumed","BLOCKED: CTUIL permission not obtained")</f>
        <v>CTUIL permission assumed</v>
      </c>
      <c r="F41" s="8" t="s">
        <v>543</v>
      </c>
    </row>
    <row r="42" customFormat="false" ht="15" hidden="false" customHeight="false" outlineLevel="0" collapsed="false">
      <c r="A42" s="4" t="s">
        <v>520</v>
      </c>
      <c r="B42" s="12"/>
      <c r="C42" s="4" t="str">
        <f aca="false">IF(C$5&gt;Assumptions!$F$44,"Exceeds reachable segment",TEXT(C$5/Assumptions!$F$44,"0%")&amp;" of segment")</f>
        <v>5% of segment</v>
      </c>
      <c r="D42" s="4" t="str">
        <f aca="false">IF(D$5&gt;Assumptions!$F$44,"Exceeds reachable segment",TEXT(D$5/Assumptions!$F$44,"0%")&amp;" of segment")</f>
        <v>50% of segment</v>
      </c>
      <c r="E42" s="4" t="str">
        <f aca="false">IF(E$5&gt;Assumptions!$F$44,"Exceeds reachable segment",TEXT(E$5/Assumptions!$F$44,"0%")&amp;" of segment")</f>
        <v>Exceeds reachable segment</v>
      </c>
      <c r="F42" s="8" t="s">
        <v>544</v>
      </c>
    </row>
    <row r="44" customFormat="false" ht="15" hidden="false" customHeight="false" outlineLevel="0" collapsed="false">
      <c r="A44" s="10" t="s">
        <v>545</v>
      </c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6" t="s">
        <v>546</v>
      </c>
      <c r="B45" s="12" t="s">
        <v>194</v>
      </c>
      <c r="C45" s="15" t="n">
        <v>240000</v>
      </c>
      <c r="D45" s="16" t="n">
        <f aca="false">$C45</f>
        <v>240000</v>
      </c>
      <c r="E45" s="16" t="n">
        <f aca="false">$C45</f>
        <v>240000</v>
      </c>
      <c r="F45" s="8" t="s">
        <v>547</v>
      </c>
    </row>
    <row r="46" customFormat="false" ht="15" hidden="false" customHeight="false" outlineLevel="0" collapsed="false">
      <c r="A46" s="6" t="s">
        <v>548</v>
      </c>
      <c r="B46" s="12" t="s">
        <v>99</v>
      </c>
      <c r="C46" s="24" t="n">
        <v>0.05</v>
      </c>
      <c r="D46" s="23" t="n">
        <f aca="false">$C46</f>
        <v>0.05</v>
      </c>
      <c r="E46" s="23" t="n">
        <f aca="false">$C46</f>
        <v>0.05</v>
      </c>
      <c r="F46" s="8" t="s">
        <v>549</v>
      </c>
    </row>
    <row r="47" customFormat="false" ht="15" hidden="false" customHeight="false" outlineLevel="0" collapsed="false">
      <c r="A47" s="6" t="s">
        <v>550</v>
      </c>
      <c r="B47" s="12" t="s">
        <v>39</v>
      </c>
      <c r="C47" s="13" t="n">
        <v>730</v>
      </c>
      <c r="D47" s="14" t="n">
        <f aca="false">$C47</f>
        <v>730</v>
      </c>
      <c r="E47" s="14" t="n">
        <f aca="false">$C47</f>
        <v>730</v>
      </c>
      <c r="F47" s="8" t="s">
        <v>551</v>
      </c>
    </row>
    <row r="48" customFormat="false" ht="15" hidden="false" customHeight="false" outlineLevel="0" collapsed="false">
      <c r="A48" s="6" t="s">
        <v>502</v>
      </c>
      <c r="B48" s="12" t="s">
        <v>39</v>
      </c>
      <c r="C48" s="13" t="n">
        <v>80</v>
      </c>
      <c r="D48" s="14" t="n">
        <f aca="false">$C48</f>
        <v>80</v>
      </c>
      <c r="E48" s="14" t="n">
        <f aca="false">$C48</f>
        <v>80</v>
      </c>
      <c r="F48" s="8"/>
    </row>
    <row r="49" customFormat="false" ht="15" hidden="false" customHeight="false" outlineLevel="0" collapsed="false">
      <c r="A49" s="6" t="s">
        <v>552</v>
      </c>
      <c r="B49" s="12" t="s">
        <v>198</v>
      </c>
      <c r="C49" s="14" t="n">
        <f aca="false">C$5*Assumptions!$F$69</f>
        <v>2500</v>
      </c>
      <c r="D49" s="14" t="n">
        <f aca="false">D$5*Assumptions!$F$69</f>
        <v>25000</v>
      </c>
      <c r="E49" s="14" t="n">
        <f aca="false">E$5*Assumptions!$F$69</f>
        <v>250000</v>
      </c>
      <c r="F49" s="8"/>
    </row>
    <row r="50" customFormat="false" ht="15" hidden="false" customHeight="false" outlineLevel="0" collapsed="false">
      <c r="A50" s="6" t="s">
        <v>553</v>
      </c>
      <c r="B50" s="12" t="s">
        <v>507</v>
      </c>
      <c r="C50" s="14" t="n">
        <f aca="false">C$5*Assumptions!$F$78</f>
        <v>80</v>
      </c>
      <c r="D50" s="14" t="n">
        <f aca="false">D$5*Assumptions!$F$78</f>
        <v>800</v>
      </c>
      <c r="E50" s="14" t="n">
        <f aca="false">E$5*Assumptions!$F$78</f>
        <v>8000</v>
      </c>
      <c r="F50" s="8"/>
    </row>
    <row r="51" customFormat="false" ht="22.35" hidden="false" customHeight="false" outlineLevel="0" collapsed="false">
      <c r="A51" s="6" t="s">
        <v>554</v>
      </c>
      <c r="B51" s="12" t="s">
        <v>507</v>
      </c>
      <c r="C51" s="14" t="n">
        <f aca="false">IF(Assumptions!$F$70&gt;0,$C$47,0)</f>
        <v>730</v>
      </c>
      <c r="D51" s="14" t="n">
        <f aca="false">IF(Assumptions!$F$70&gt;0,$C$47,0)</f>
        <v>730</v>
      </c>
      <c r="E51" s="14" t="n">
        <f aca="false">IF(Assumptions!$F$70&gt;0,$C$47,0)</f>
        <v>730</v>
      </c>
      <c r="F51" s="8" t="s">
        <v>555</v>
      </c>
    </row>
    <row r="52" customFormat="false" ht="15" hidden="false" customHeight="false" outlineLevel="0" collapsed="false">
      <c r="A52" s="6" t="s">
        <v>556</v>
      </c>
      <c r="B52" s="12" t="s">
        <v>507</v>
      </c>
      <c r="C52" s="14" t="n">
        <f aca="false">C$5*Assumptions!$F$76/12*Assumptions!$F$77</f>
        <v>10</v>
      </c>
      <c r="D52" s="14" t="n">
        <f aca="false">D$5*Assumptions!$F$76/12*Assumptions!$F$77</f>
        <v>100</v>
      </c>
      <c r="E52" s="14" t="n">
        <f aca="false">E$5*Assumptions!$F$76/12*Assumptions!$F$77</f>
        <v>1000</v>
      </c>
      <c r="F52" s="8" t="s">
        <v>557</v>
      </c>
    </row>
    <row r="53" customFormat="false" ht="15" hidden="false" customHeight="false" outlineLevel="0" collapsed="false">
      <c r="A53" s="4" t="s">
        <v>513</v>
      </c>
      <c r="B53" s="12" t="s">
        <v>507</v>
      </c>
      <c r="C53" s="35" t="n">
        <f aca="false">SUM(C50:C52)</f>
        <v>820</v>
      </c>
      <c r="D53" s="35" t="n">
        <f aca="false">SUM(D50:D52)</f>
        <v>1630</v>
      </c>
      <c r="E53" s="35" t="n">
        <f aca="false">SUM(E50:E52)</f>
        <v>9730</v>
      </c>
      <c r="F53" s="8"/>
    </row>
    <row r="54" customFormat="false" ht="15" hidden="false" customHeight="false" outlineLevel="0" collapsed="false">
      <c r="A54" s="6" t="s">
        <v>539</v>
      </c>
      <c r="B54" s="12" t="s">
        <v>123</v>
      </c>
      <c r="C54" s="27" t="n">
        <f aca="false">C53/Assumptions!$F$8</f>
        <v>5.125</v>
      </c>
      <c r="D54" s="27" t="n">
        <f aca="false">D53/Assumptions!$F$8</f>
        <v>10.1875</v>
      </c>
      <c r="E54" s="27" t="n">
        <f aca="false">E53/Assumptions!$F$8</f>
        <v>60.8125</v>
      </c>
      <c r="F54" s="8"/>
    </row>
    <row r="55" customFormat="false" ht="15" hidden="false" customHeight="false" outlineLevel="0" collapsed="false">
      <c r="A55" s="4" t="s">
        <v>515</v>
      </c>
      <c r="B55" s="12"/>
      <c r="C55" s="4" t="str">
        <f aca="false">IF(C53&lt;=$C$48,"Founder can run","Needs "&amp;TEXT(C54,"0.0")&amp;" delivery FTE")</f>
        <v>Needs 5.1 delivery FTE</v>
      </c>
      <c r="D55" s="4" t="str">
        <f aca="false">IF(D53&lt;=$C$48,"Founder can run","Needs "&amp;TEXT(D54,"0.0")&amp;" delivery FTE")</f>
        <v>Needs 10.2 delivery FTE</v>
      </c>
      <c r="E55" s="4" t="str">
        <f aca="false">IF(E53&lt;=$C$48,"Founder can run","Needs "&amp;TEXT(E54,"0.0")&amp;" delivery FTE")</f>
        <v>Needs 60.8 delivery FTE</v>
      </c>
      <c r="F55" s="8"/>
    </row>
    <row r="56" customFormat="false" ht="22.35" hidden="false" customHeight="false" outlineLevel="0" collapsed="false">
      <c r="A56" s="6" t="s">
        <v>558</v>
      </c>
      <c r="B56" s="12" t="s">
        <v>251</v>
      </c>
      <c r="C56" s="16" t="n">
        <f aca="false">C49*$C$45*12*$C$46</f>
        <v>360000000</v>
      </c>
      <c r="D56" s="16" t="n">
        <f aca="false">D49*$C$45*12*$C$46</f>
        <v>3600000000</v>
      </c>
      <c r="E56" s="16" t="n">
        <f aca="false">E49*$C$45*12*$C$46</f>
        <v>36000000000</v>
      </c>
      <c r="F56" s="8" t="s">
        <v>559</v>
      </c>
    </row>
    <row r="57" customFormat="false" ht="22.35" hidden="false" customHeight="false" outlineLevel="0" collapsed="false">
      <c r="A57" s="4" t="s">
        <v>520</v>
      </c>
      <c r="B57" s="12"/>
      <c r="C57" s="4" t="str">
        <f aca="false">IF(C$5&gt;Assumptions!$F$67,"Exceeds reachable segment",TEXT(C$5/Assumptions!$F$67,"0%")&amp;" of segment")</f>
        <v>33% of segment</v>
      </c>
      <c r="D57" s="4" t="str">
        <f aca="false">IF(D$5&gt;Assumptions!$F$67,"Exceeds reachable segment",TEXT(D$5/Assumptions!$F$67,"0%")&amp;" of segment")</f>
        <v>Exceeds reachable segment</v>
      </c>
      <c r="E57" s="4" t="str">
        <f aca="false">IF(E$5&gt;Assumptions!$F$67,"Exceeds reachable segment",TEXT(E$5/Assumptions!$F$67,"0%")&amp;" of segment")</f>
        <v>Exceeds reachable segment</v>
      </c>
      <c r="F57" s="8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36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561</v>
      </c>
    </row>
    <row r="2" customFormat="false" ht="15" hidden="false" customHeight="false" outlineLevel="0" collapsed="false">
      <c r="A2" s="12" t="s">
        <v>562</v>
      </c>
    </row>
    <row r="4" customFormat="false" ht="15" hidden="false" customHeight="false" outlineLevel="0" collapsed="false">
      <c r="A4" s="9" t="s">
        <v>563</v>
      </c>
      <c r="B4" s="9" t="s">
        <v>564</v>
      </c>
      <c r="C4" s="9" t="s">
        <v>296</v>
      </c>
      <c r="D4" s="9" t="s">
        <v>33</v>
      </c>
      <c r="E4" s="9" t="s">
        <v>565</v>
      </c>
      <c r="F4" s="9" t="s">
        <v>566</v>
      </c>
    </row>
    <row r="5" customFormat="false" ht="35.05" hidden="false" customHeight="false" outlineLevel="0" collapsed="false">
      <c r="A5" s="4" t="s">
        <v>567</v>
      </c>
      <c r="B5" s="3" t="s">
        <v>568</v>
      </c>
      <c r="C5" s="3" t="s">
        <v>569</v>
      </c>
      <c r="D5" s="3" t="s">
        <v>570</v>
      </c>
      <c r="E5" s="3" t="s">
        <v>571</v>
      </c>
      <c r="F5" s="8" t="s">
        <v>572</v>
      </c>
    </row>
    <row r="6" customFormat="false" ht="23.85" hidden="false" customHeight="false" outlineLevel="0" collapsed="false">
      <c r="A6" s="4" t="s">
        <v>113</v>
      </c>
      <c r="B6" s="3" t="s">
        <v>573</v>
      </c>
      <c r="C6" s="3" t="s">
        <v>574</v>
      </c>
      <c r="D6" s="3" t="s">
        <v>59</v>
      </c>
      <c r="E6" s="3" t="s">
        <v>575</v>
      </c>
      <c r="F6" s="47" t="s">
        <v>576</v>
      </c>
    </row>
    <row r="7" customFormat="false" ht="35.05" hidden="false" customHeight="false" outlineLevel="0" collapsed="false">
      <c r="A7" s="4" t="s">
        <v>84</v>
      </c>
      <c r="B7" s="3" t="s">
        <v>577</v>
      </c>
      <c r="C7" s="3" t="s">
        <v>578</v>
      </c>
      <c r="D7" s="3" t="s">
        <v>45</v>
      </c>
      <c r="E7" s="3" t="s">
        <v>579</v>
      </c>
      <c r="F7" s="47" t="s">
        <v>580</v>
      </c>
    </row>
    <row r="8" customFormat="false" ht="23.85" hidden="false" customHeight="false" outlineLevel="0" collapsed="false">
      <c r="A8" s="4" t="s">
        <v>581</v>
      </c>
      <c r="B8" s="3" t="s">
        <v>582</v>
      </c>
      <c r="C8" s="3" t="s">
        <v>583</v>
      </c>
      <c r="D8" s="3" t="s">
        <v>584</v>
      </c>
      <c r="E8" s="3" t="s">
        <v>585</v>
      </c>
      <c r="F8" s="47" t="s">
        <v>586</v>
      </c>
    </row>
    <row r="9" customFormat="false" ht="23.85" hidden="false" customHeight="false" outlineLevel="0" collapsed="false">
      <c r="A9" s="4" t="s">
        <v>587</v>
      </c>
      <c r="B9" s="3" t="s">
        <v>588</v>
      </c>
      <c r="C9" s="3" t="s">
        <v>589</v>
      </c>
      <c r="D9" s="3" t="s">
        <v>590</v>
      </c>
      <c r="E9" s="3" t="s">
        <v>585</v>
      </c>
      <c r="F9" s="47" t="s">
        <v>591</v>
      </c>
    </row>
    <row r="10" customFormat="false" ht="35.05" hidden="false" customHeight="false" outlineLevel="0" collapsed="false">
      <c r="A10" s="4" t="s">
        <v>65</v>
      </c>
      <c r="B10" s="3" t="s">
        <v>592</v>
      </c>
      <c r="C10" s="3" t="s">
        <v>593</v>
      </c>
      <c r="D10" s="3" t="s">
        <v>594</v>
      </c>
      <c r="E10" s="3" t="s">
        <v>595</v>
      </c>
      <c r="F10" s="47" t="s">
        <v>596</v>
      </c>
    </row>
    <row r="11" customFormat="false" ht="35.05" hidden="false" customHeight="false" outlineLevel="0" collapsed="false">
      <c r="A11" s="4" t="s">
        <v>597</v>
      </c>
      <c r="B11" s="3" t="s">
        <v>598</v>
      </c>
      <c r="C11" s="3" t="s">
        <v>385</v>
      </c>
      <c r="D11" s="3" t="s">
        <v>599</v>
      </c>
      <c r="E11" s="3" t="s">
        <v>600</v>
      </c>
      <c r="F11" s="47" t="s">
        <v>601</v>
      </c>
    </row>
    <row r="12" customFormat="false" ht="35.05" hidden="false" customHeight="false" outlineLevel="0" collapsed="false">
      <c r="A12" s="4" t="s">
        <v>69</v>
      </c>
      <c r="B12" s="3" t="s">
        <v>602</v>
      </c>
      <c r="C12" s="3" t="s">
        <v>603</v>
      </c>
      <c r="D12" s="3" t="s">
        <v>604</v>
      </c>
      <c r="E12" s="3" t="s">
        <v>605</v>
      </c>
      <c r="F12" s="47" t="s">
        <v>606</v>
      </c>
    </row>
    <row r="13" customFormat="false" ht="23.85" hidden="false" customHeight="false" outlineLevel="0" collapsed="false">
      <c r="A13" s="4" t="s">
        <v>607</v>
      </c>
      <c r="B13" s="3" t="s">
        <v>608</v>
      </c>
      <c r="C13" s="3" t="s">
        <v>609</v>
      </c>
      <c r="D13" s="3" t="s">
        <v>206</v>
      </c>
      <c r="E13" s="3" t="s">
        <v>605</v>
      </c>
      <c r="F13" s="47" t="s">
        <v>610</v>
      </c>
    </row>
    <row r="14" customFormat="false" ht="23.85" hidden="false" customHeight="false" outlineLevel="0" collapsed="false">
      <c r="A14" s="4" t="s">
        <v>91</v>
      </c>
      <c r="B14" s="3" t="s">
        <v>611</v>
      </c>
      <c r="C14" s="3" t="s">
        <v>612</v>
      </c>
      <c r="D14" s="3" t="s">
        <v>59</v>
      </c>
      <c r="E14" s="3" t="s">
        <v>600</v>
      </c>
      <c r="F14" s="47" t="s">
        <v>613</v>
      </c>
    </row>
    <row r="15" customFormat="false" ht="23.85" hidden="false" customHeight="false" outlineLevel="0" collapsed="false">
      <c r="A15" s="4" t="s">
        <v>73</v>
      </c>
      <c r="B15" s="3" t="s">
        <v>614</v>
      </c>
      <c r="C15" s="3" t="s">
        <v>609</v>
      </c>
      <c r="D15" s="3" t="s">
        <v>615</v>
      </c>
      <c r="E15" s="3" t="s">
        <v>616</v>
      </c>
      <c r="F15" s="47" t="s">
        <v>580</v>
      </c>
    </row>
    <row r="16" customFormat="false" ht="23.85" hidden="false" customHeight="false" outlineLevel="0" collapsed="false">
      <c r="A16" s="4" t="s">
        <v>617</v>
      </c>
      <c r="B16" s="3" t="s">
        <v>618</v>
      </c>
      <c r="C16" s="3" t="s">
        <v>619</v>
      </c>
      <c r="D16" s="3" t="s">
        <v>206</v>
      </c>
      <c r="E16" s="3" t="s">
        <v>620</v>
      </c>
      <c r="F16" s="47" t="s">
        <v>621</v>
      </c>
    </row>
    <row r="17" customFormat="false" ht="23.85" hidden="false" customHeight="false" outlineLevel="0" collapsed="false">
      <c r="A17" s="4" t="s">
        <v>80</v>
      </c>
      <c r="B17" s="3" t="s">
        <v>622</v>
      </c>
      <c r="C17" s="3" t="s">
        <v>623</v>
      </c>
      <c r="D17" s="3" t="s">
        <v>624</v>
      </c>
      <c r="E17" s="3" t="s">
        <v>625</v>
      </c>
      <c r="F17" s="8" t="s">
        <v>572</v>
      </c>
    </row>
    <row r="18" customFormat="false" ht="35.05" hidden="false" customHeight="false" outlineLevel="0" collapsed="false">
      <c r="A18" s="4" t="s">
        <v>102</v>
      </c>
      <c r="B18" s="3" t="s">
        <v>626</v>
      </c>
      <c r="C18" s="3" t="s">
        <v>627</v>
      </c>
      <c r="D18" s="3" t="s">
        <v>628</v>
      </c>
      <c r="E18" s="3" t="s">
        <v>629</v>
      </c>
      <c r="F18" s="47" t="s">
        <v>630</v>
      </c>
    </row>
    <row r="19" customFormat="false" ht="23.85" hidden="false" customHeight="false" outlineLevel="0" collapsed="false">
      <c r="A19" s="4" t="s">
        <v>150</v>
      </c>
      <c r="B19" s="3" t="s">
        <v>631</v>
      </c>
      <c r="C19" s="3" t="s">
        <v>578</v>
      </c>
      <c r="D19" s="3" t="s">
        <v>45</v>
      </c>
      <c r="E19" s="3" t="s">
        <v>632</v>
      </c>
      <c r="F19" s="8" t="s">
        <v>572</v>
      </c>
    </row>
    <row r="20" customFormat="false" ht="23.85" hidden="false" customHeight="false" outlineLevel="0" collapsed="false">
      <c r="A20" s="4" t="s">
        <v>146</v>
      </c>
      <c r="B20" s="3" t="s">
        <v>633</v>
      </c>
      <c r="C20" s="3" t="s">
        <v>385</v>
      </c>
      <c r="D20" s="3" t="s">
        <v>59</v>
      </c>
      <c r="E20" s="3" t="s">
        <v>634</v>
      </c>
      <c r="F20" s="47" t="s">
        <v>635</v>
      </c>
    </row>
    <row r="21" customFormat="false" ht="23.85" hidden="false" customHeight="false" outlineLevel="0" collapsed="false">
      <c r="A21" s="4" t="s">
        <v>636</v>
      </c>
      <c r="B21" s="3" t="s">
        <v>637</v>
      </c>
      <c r="C21" s="3" t="s">
        <v>638</v>
      </c>
      <c r="D21" s="3" t="s">
        <v>639</v>
      </c>
      <c r="E21" s="3" t="s">
        <v>640</v>
      </c>
      <c r="F21" s="47" t="s">
        <v>641</v>
      </c>
    </row>
    <row r="22" customFormat="false" ht="35.05" hidden="false" customHeight="false" outlineLevel="0" collapsed="false">
      <c r="A22" s="4" t="s">
        <v>158</v>
      </c>
      <c r="B22" s="3" t="s">
        <v>642</v>
      </c>
      <c r="C22" s="3" t="s">
        <v>643</v>
      </c>
      <c r="D22" s="3" t="s">
        <v>644</v>
      </c>
      <c r="E22" s="3" t="s">
        <v>645</v>
      </c>
      <c r="F22" s="8" t="s">
        <v>572</v>
      </c>
    </row>
    <row r="23" customFormat="false" ht="23.85" hidden="false" customHeight="false" outlineLevel="0" collapsed="false">
      <c r="A23" s="4" t="s">
        <v>646</v>
      </c>
      <c r="B23" s="3" t="s">
        <v>647</v>
      </c>
      <c r="C23" s="3" t="s">
        <v>648</v>
      </c>
      <c r="D23" s="3" t="s">
        <v>649</v>
      </c>
      <c r="E23" s="3" t="s">
        <v>650</v>
      </c>
      <c r="F23" s="47" t="s">
        <v>651</v>
      </c>
    </row>
    <row r="24" customFormat="false" ht="23.85" hidden="false" customHeight="false" outlineLevel="0" collapsed="false">
      <c r="A24" s="4" t="s">
        <v>170</v>
      </c>
      <c r="B24" s="3" t="s">
        <v>652</v>
      </c>
      <c r="C24" s="3" t="s">
        <v>653</v>
      </c>
      <c r="D24" s="3" t="s">
        <v>59</v>
      </c>
      <c r="E24" s="3" t="s">
        <v>654</v>
      </c>
      <c r="F24" s="47" t="s">
        <v>655</v>
      </c>
    </row>
    <row r="25" customFormat="false" ht="23.85" hidden="false" customHeight="false" outlineLevel="0" collapsed="false">
      <c r="A25" s="4" t="s">
        <v>162</v>
      </c>
      <c r="B25" s="3" t="s">
        <v>656</v>
      </c>
      <c r="C25" s="3" t="s">
        <v>657</v>
      </c>
      <c r="D25" s="3" t="s">
        <v>59</v>
      </c>
      <c r="E25" s="3" t="s">
        <v>658</v>
      </c>
      <c r="F25" s="47" t="s">
        <v>659</v>
      </c>
    </row>
    <row r="26" customFormat="false" ht="23.85" hidden="false" customHeight="false" outlineLevel="0" collapsed="false">
      <c r="A26" s="4" t="s">
        <v>660</v>
      </c>
      <c r="B26" s="3" t="s">
        <v>661</v>
      </c>
      <c r="C26" s="3" t="s">
        <v>662</v>
      </c>
      <c r="D26" s="3" t="s">
        <v>59</v>
      </c>
      <c r="E26" s="3" t="s">
        <v>663</v>
      </c>
      <c r="F26" s="47" t="s">
        <v>664</v>
      </c>
    </row>
    <row r="27" customFormat="false" ht="35.05" hidden="false" customHeight="false" outlineLevel="0" collapsed="false">
      <c r="A27" s="4" t="s">
        <v>195</v>
      </c>
      <c r="B27" s="3" t="s">
        <v>665</v>
      </c>
      <c r="C27" s="3" t="s">
        <v>578</v>
      </c>
      <c r="D27" s="3" t="s">
        <v>45</v>
      </c>
      <c r="E27" s="3" t="s">
        <v>666</v>
      </c>
      <c r="F27" s="8" t="s">
        <v>572</v>
      </c>
    </row>
    <row r="28" customFormat="false" ht="23.85" hidden="false" customHeight="false" outlineLevel="0" collapsed="false">
      <c r="A28" s="4" t="s">
        <v>667</v>
      </c>
      <c r="B28" s="3" t="s">
        <v>668</v>
      </c>
      <c r="C28" s="3" t="s">
        <v>669</v>
      </c>
      <c r="D28" s="3" t="s">
        <v>59</v>
      </c>
      <c r="E28" s="3" t="s">
        <v>670</v>
      </c>
      <c r="F28" s="47" t="s">
        <v>671</v>
      </c>
    </row>
    <row r="29" customFormat="false" ht="35.05" hidden="false" customHeight="false" outlineLevel="0" collapsed="false">
      <c r="A29" s="4" t="s">
        <v>225</v>
      </c>
      <c r="B29" s="3" t="s">
        <v>672</v>
      </c>
      <c r="C29" s="3" t="s">
        <v>673</v>
      </c>
      <c r="D29" s="3" t="s">
        <v>59</v>
      </c>
      <c r="E29" s="3" t="s">
        <v>674</v>
      </c>
      <c r="F29" s="47" t="s">
        <v>675</v>
      </c>
    </row>
    <row r="30" customFormat="false" ht="23.85" hidden="false" customHeight="false" outlineLevel="0" collapsed="false">
      <c r="A30" s="4" t="s">
        <v>207</v>
      </c>
      <c r="B30" s="3" t="s">
        <v>676</v>
      </c>
      <c r="C30" s="3" t="s">
        <v>677</v>
      </c>
      <c r="D30" s="3" t="s">
        <v>206</v>
      </c>
      <c r="E30" s="3" t="s">
        <v>678</v>
      </c>
      <c r="F30" s="47" t="s">
        <v>679</v>
      </c>
    </row>
    <row r="31" customFormat="false" ht="23.85" hidden="false" customHeight="false" outlineLevel="0" collapsed="false">
      <c r="A31" s="4" t="s">
        <v>680</v>
      </c>
      <c r="B31" s="3" t="s">
        <v>681</v>
      </c>
      <c r="C31" s="3" t="s">
        <v>682</v>
      </c>
      <c r="D31" s="3" t="s">
        <v>206</v>
      </c>
      <c r="E31" s="3" t="s">
        <v>683</v>
      </c>
      <c r="F31" s="47" t="s">
        <v>684</v>
      </c>
    </row>
    <row r="32" customFormat="false" ht="46.25" hidden="false" customHeight="false" outlineLevel="0" collapsed="false">
      <c r="A32" s="4" t="s">
        <v>191</v>
      </c>
      <c r="B32" s="3" t="s">
        <v>685</v>
      </c>
      <c r="C32" s="3" t="s">
        <v>686</v>
      </c>
      <c r="D32" s="3" t="s">
        <v>628</v>
      </c>
      <c r="E32" s="3" t="s">
        <v>687</v>
      </c>
      <c r="F32" s="47" t="s">
        <v>688</v>
      </c>
    </row>
    <row r="33" customFormat="false" ht="35.05" hidden="false" customHeight="false" outlineLevel="0" collapsed="false">
      <c r="A33" s="4" t="s">
        <v>202</v>
      </c>
      <c r="B33" s="3" t="s">
        <v>689</v>
      </c>
      <c r="C33" s="3" t="s">
        <v>690</v>
      </c>
      <c r="D33" s="3" t="s">
        <v>59</v>
      </c>
      <c r="E33" s="3" t="s">
        <v>691</v>
      </c>
      <c r="F33" s="47" t="s">
        <v>692</v>
      </c>
    </row>
    <row r="34" customFormat="false" ht="35.05" hidden="false" customHeight="false" outlineLevel="0" collapsed="false">
      <c r="A34" s="4" t="s">
        <v>693</v>
      </c>
      <c r="B34" s="3" t="s">
        <v>694</v>
      </c>
      <c r="C34" s="3" t="s">
        <v>695</v>
      </c>
      <c r="D34" s="3" t="s">
        <v>696</v>
      </c>
      <c r="E34" s="3" t="s">
        <v>697</v>
      </c>
      <c r="F34" s="47" t="s">
        <v>698</v>
      </c>
    </row>
    <row r="35" customFormat="false" ht="35.05" hidden="false" customHeight="false" outlineLevel="0" collapsed="false">
      <c r="A35" s="4" t="s">
        <v>699</v>
      </c>
      <c r="B35" s="3" t="s">
        <v>700</v>
      </c>
      <c r="C35" s="3" t="s">
        <v>701</v>
      </c>
      <c r="D35" s="3" t="s">
        <v>24</v>
      </c>
      <c r="E35" s="3" t="s">
        <v>702</v>
      </c>
      <c r="F35" s="47" t="s">
        <v>703</v>
      </c>
    </row>
    <row r="36" customFormat="false" ht="23.85" hidden="false" customHeight="false" outlineLevel="0" collapsed="false">
      <c r="A36" s="4" t="s">
        <v>56</v>
      </c>
      <c r="B36" s="3" t="s">
        <v>704</v>
      </c>
      <c r="C36" s="3" t="s">
        <v>705</v>
      </c>
      <c r="D36" s="3" t="s">
        <v>24</v>
      </c>
      <c r="E36" s="3" t="s">
        <v>706</v>
      </c>
      <c r="F36" s="47" t="s">
        <v>707</v>
      </c>
    </row>
    <row r="37" customFormat="false" ht="23.85" hidden="false" customHeight="false" outlineLevel="0" collapsed="false">
      <c r="A37" s="4" t="s">
        <v>60</v>
      </c>
      <c r="B37" s="3" t="s">
        <v>708</v>
      </c>
      <c r="C37" s="3" t="s">
        <v>705</v>
      </c>
      <c r="D37" s="3" t="s">
        <v>59</v>
      </c>
      <c r="E37" s="3" t="s">
        <v>706</v>
      </c>
      <c r="F37" s="47" t="s">
        <v>709</v>
      </c>
    </row>
    <row r="38" customFormat="false" ht="23.85" hidden="false" customHeight="false" outlineLevel="0" collapsed="false">
      <c r="A38" s="4" t="s">
        <v>710</v>
      </c>
      <c r="B38" s="3" t="s">
        <v>711</v>
      </c>
      <c r="C38" s="3" t="s">
        <v>609</v>
      </c>
      <c r="D38" s="3" t="s">
        <v>628</v>
      </c>
      <c r="E38" s="3" t="s">
        <v>585</v>
      </c>
      <c r="F38" s="47" t="s">
        <v>712</v>
      </c>
    </row>
    <row r="39" customFormat="false" ht="35.05" hidden="false" customHeight="false" outlineLevel="0" collapsed="false">
      <c r="A39" s="4" t="s">
        <v>713</v>
      </c>
      <c r="B39" s="3" t="s">
        <v>714</v>
      </c>
      <c r="C39" s="3" t="s">
        <v>715</v>
      </c>
      <c r="D39" s="3" t="s">
        <v>59</v>
      </c>
      <c r="E39" s="3" t="s">
        <v>716</v>
      </c>
      <c r="F39" s="47" t="s">
        <v>717</v>
      </c>
    </row>
    <row r="40" customFormat="false" ht="23.85" hidden="false" customHeight="false" outlineLevel="0" collapsed="false">
      <c r="A40" s="4" t="s">
        <v>718</v>
      </c>
      <c r="B40" s="3" t="s">
        <v>719</v>
      </c>
      <c r="C40" s="3" t="s">
        <v>569</v>
      </c>
      <c r="D40" s="3" t="s">
        <v>720</v>
      </c>
      <c r="E40" s="3" t="s">
        <v>721</v>
      </c>
      <c r="F40" s="8" t="s">
        <v>572</v>
      </c>
    </row>
    <row r="41" customFormat="false" ht="23.85" hidden="false" customHeight="false" outlineLevel="0" collapsed="false">
      <c r="A41" s="4" t="s">
        <v>25</v>
      </c>
      <c r="B41" s="3" t="s">
        <v>722</v>
      </c>
      <c r="C41" s="3" t="s">
        <v>723</v>
      </c>
      <c r="D41" s="3" t="s">
        <v>724</v>
      </c>
      <c r="E41" s="3" t="s">
        <v>616</v>
      </c>
      <c r="F41" s="47" t="s">
        <v>576</v>
      </c>
    </row>
    <row r="42" customFormat="false" ht="23.85" hidden="false" customHeight="false" outlineLevel="0" collapsed="false">
      <c r="A42" s="4" t="s">
        <v>40</v>
      </c>
      <c r="B42" s="3" t="s">
        <v>725</v>
      </c>
      <c r="C42" s="3" t="s">
        <v>726</v>
      </c>
      <c r="D42" s="3" t="s">
        <v>45</v>
      </c>
      <c r="E42" s="3" t="s">
        <v>727</v>
      </c>
      <c r="F42" s="8" t="s">
        <v>572</v>
      </c>
    </row>
    <row r="43" customFormat="false" ht="23.85" hidden="false" customHeight="false" outlineLevel="0" collapsed="false">
      <c r="A43" s="4" t="s">
        <v>218</v>
      </c>
      <c r="B43" s="3" t="s">
        <v>728</v>
      </c>
      <c r="C43" s="3" t="s">
        <v>627</v>
      </c>
      <c r="D43" s="3" t="s">
        <v>206</v>
      </c>
      <c r="E43" s="3" t="s">
        <v>658</v>
      </c>
      <c r="F43" s="47" t="s">
        <v>729</v>
      </c>
    </row>
    <row r="44" customFormat="false" ht="23.85" hidden="false" customHeight="false" outlineLevel="0" collapsed="false">
      <c r="A44" s="4" t="s">
        <v>215</v>
      </c>
      <c r="B44" s="3" t="s">
        <v>730</v>
      </c>
      <c r="C44" s="3" t="s">
        <v>731</v>
      </c>
      <c r="D44" s="3" t="s">
        <v>59</v>
      </c>
      <c r="E44" s="3" t="s">
        <v>732</v>
      </c>
      <c r="F44" s="47" t="s">
        <v>671</v>
      </c>
    </row>
  </sheetData>
  <hyperlinks>
    <hyperlink ref="F6" r:id="rId1" display="https://jmkresearch.com/open-access-ci-re-market-in-india/"/>
    <hyperlink ref="F7" r:id="rId2" display="https://www.herofutureenergies.com/blog/solar-open-access-for-commercial-industrial-consumers-india/"/>
    <hyperlink ref="F8" r:id="rId3" display="https://elion.co.in/energy-audit-in-india-complete-guide-to-bee-compliance-process-cost-savings-2026/"/>
    <hyperlink ref="F9" r:id="rId4" display="https://www.businesstoday.in/magazine/features/story/the-power-people-84654-2017-08-04"/>
    <hyperlink ref="F10" r:id="rId5" display="https://kptclsldc.in/WBUpload.aspx"/>
    <hyperlink ref="F11" r:id="rId6" display="https://apparelresources.com/business-news/sourcing/struggling-tamil-nadu-textile-industry-urges-not-change-states-energy-policies/"/>
    <hyperlink ref="F12" r:id="rId7" display="https://solarquarter.com/2025/10/14/bescom-seeks-kerc-approval-to-levy-%e2%82%b91-65-per-unit-additional-surcharge-on-open-access-consumers-in-karnataka/"/>
    <hyperlink ref="F13" r:id="rId8" display="https://mercomindia.com/karnataka-halves-additional-surcharge-for-open-access-power"/>
    <hyperlink ref="F14" r:id="rId9" display="https://www.energetica-india.net/keyword/open-access-charges"/>
    <hyperlink ref="F15" r:id="rId10" display="https://www.herofutureenergies.com/blog/solar-open-access-for-commercial-industrial-consumers-india/"/>
    <hyperlink ref="F16" r:id="rId11" display="https://www.openaccessexchange.com/blog/open-access-renewable-energy-india-2026-state-data/"/>
    <hyperlink ref="F18" r:id="rId12" display="https://tatapower.com/what-we-do-nav/energy-services/power-trading-2"/>
    <hyperlink ref="F20" r:id="rId13" display="https://ctuil.in/uploads/assets/178963420036Final%20List%20of%20eligible%20entities%20as%20per%2011SM2026_rev%2001.pdf"/>
    <hyperlink ref="F21" r:id="rId14" display="https://ctuil.in/uploads/assets/178645696705Compensation%20charges%20as%20per%20CERC%20order%20dtd%2003-08-2026%20to%20be%20uploaded%20on%20website.pdf"/>
    <hyperlink ref="F23" r:id="rId15" display="https://www.mercomindia.com/rajasthan-seeks-consultants-help-frame-tariff-regulations"/>
    <hyperlink ref="F24" r:id="rId16" display="https://ctuil.in/copyright-policy"/>
    <hyperlink ref="F25" r:id="rId17" display="https://ctuil.in/connectivity-effective-list"/>
    <hyperlink ref="F26" r:id="rId18" display="https://www.cercind.gov.in/2026/draft_reg/EM_GNA-fourth-Amnd.pdf"/>
    <hyperlink ref="F28" r:id="rId19" display="https://www.energetica-india.net/news/oriana-bsl-engineering-armee-infotech-gk-energy-among-winners-in-msedcl-4-gwh-bess-auction"/>
    <hyperlink ref="F29" r:id="rId20" display="https://www.iexindia.com/terms-of-uses"/>
    <hyperlink ref="F30" r:id="rId21" display="https://ember-energy.org/latest-insights/the-age-of-storage-batteries-primed-for-indias-power-markets/chapter-3-the-economics-of-merchant-bess/"/>
    <hyperlink ref="F31" r:id="rId22" display="https://blog.tenderkosh.com/bess-tenders-india-2026/"/>
    <hyperlink ref="F32" r:id="rId23" display="https://solarquarter.com/2026/02/02/%e2%82%b91-81-lakh-to-%e2%82%b93-15-lakh-kerala-and-tamil-nadu-discover-new-benchmarks-in-standalone-bess-tariffs/"/>
    <hyperlink ref="F33" r:id="rId24" display="https://jmkresearch.com/indias-emerging-merchant-bess-market-faces-its-first-regulatory-test/"/>
    <hyperlink ref="F34" r:id="rId25" display="https://www.manikarananalytics.in/"/>
    <hyperlink ref="F35" r:id="rId26" display="https://energy.prayaspune.org/images/pdf/CERC_suo-motu_proposal_on_X_for_RE-DSM_Prayas_comments_17-10-25.pdf"/>
    <hyperlink ref="F36" r:id="rId27" display="https://www.ecmwf.int/en/forecasts/datasets/open-data"/>
    <hyperlink ref="F37" r:id="rId28" display="https://openmeteo.substack.com/p/api-subscriptions-for-commercial"/>
    <hyperlink ref="F38" r:id="rId29" display="https://cercind.gov.in/2025/orders/138-AT-2024.pdf"/>
    <hyperlink ref="F39" r:id="rId30" display="https://cercind.gov.in/regulations/208-notification.pdf"/>
    <hyperlink ref="F41" r:id="rId31" display="https://jmkresearch.com/open-access-ci-re-market-in-india/"/>
    <hyperlink ref="F43" r:id="rId32" display="https://energy-storage.news/fluence-targets-growth-potential-in-india-forming-jv-with-independent-power-producer-renew-power"/>
    <hyperlink ref="F44" r:id="rId33" display="https://www.energetica-india.net/news/oriana-bsl-engineering-armee-infotech-gk-energy-among-winners-in-msedcl-4-gwh-bess-auc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2026-10-17T16:11:24Z</dcterms:created>
  <dc:creator>openpyxl</dc:creator>
  <dc:description/>
  <dc:language>en-US</dc:language>
  <cp:lastModifiedBy/>
  <dcterms:modified xsi:type="dcterms:W3CDTF">2026-10-17T16:11:24Z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